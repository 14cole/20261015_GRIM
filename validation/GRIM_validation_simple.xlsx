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4col\Documents\20261016_GRIM\validation\"/>
    </mc:Choice>
  </mc:AlternateContent>
  <xr:revisionPtr revIDLastSave="0" documentId="13_ncr:1_{79CA46AD-A781-4B15-9BB7-EDA741B9465D}" xr6:coauthVersionLast="47" xr6:coauthVersionMax="47" xr10:uidLastSave="{00000000-0000-0000-0000-000000000000}"/>
  <bookViews>
    <workbookView xWindow="57600" yWindow="14070" windowWidth="7500" windowHeight="6000" firstSheet="41" activeTab="41" xr2:uid="{00000000-000D-0000-FFFF-FFFF00000000}"/>
  </bookViews>
  <sheets>
    <sheet name="Validation Index" sheetId="1" r:id="rId1"/>
    <sheet name="Align" sheetId="2" r:id="rId2"/>
    <sheet name="Axis Units" sheetId="3" r:id="rId3"/>
    <sheet name="Az vs D.R." sheetId="4" r:id="rId4"/>
    <sheet name="Azimuth Polar" sheetId="5" r:id="rId5"/>
    <sheet name="Azimuth Rect" sheetId="6" r:id="rId6"/>
    <sheet name="CDF" sheetId="7" r:id="rId7"/>
    <sheet name="Coherent -" sheetId="8" r:id="rId8"/>
    <sheet name="Coherent +" sheetId="9" r:id="rId9"/>
    <sheet name="Coherent divide" sheetId="10" r:id="rId10"/>
    <sheet name="Crop Slice" sheetId="11" r:id="rId11"/>
    <sheet name="dBke and dBsm" sheetId="12" r:id="rId12"/>
    <sheet name="Decimate" sheetId="13" r:id="rId13"/>
    <sheet name="Delta dB" sheetId="14" r:id="rId14"/>
    <sheet name="Delta Map" sheetId="15" r:id="rId15"/>
    <sheet name="Duplicate" sheetId="16" r:id="rId16"/>
    <sheet name="El to Az360" sheetId="17" r:id="rId17"/>
    <sheet name="Elevation Sweep" sheetId="18" r:id="rId18"/>
    <sheet name="Flip Phase" sheetId="19" r:id="rId19"/>
    <sheet name="Frequency" sheetId="20" r:id="rId20"/>
    <sheet name="Incoherent -" sheetId="21" r:id="rId21"/>
    <sheet name="Incoherent +" sheetId="22" r:id="rId22"/>
    <sheet name="ISAR Image" sheetId="23" r:id="rId23"/>
    <sheet name="Join Merge" sheetId="24" r:id="rId24"/>
    <sheet name="Medianize" sheetId="25" r:id="rId25"/>
    <sheet name="Mirror" sheetId="26" r:id="rId26"/>
    <sheet name="Offset" sheetId="27" r:id="rId27"/>
    <sheet name="Overlap" sheetId="28" r:id="rId28"/>
    <sheet name="PBP" sheetId="29" r:id="rId29"/>
    <sheet name="Percentile" sheetId="30" r:id="rId30"/>
    <sheet name="Phase" sheetId="31" r:id="rId31"/>
    <sheet name="Phase Center" sheetId="32" r:id="rId32"/>
    <sheet name="Range Cal" sheetId="33" r:id="rId33"/>
    <sheet name="Range Freq" sheetId="34" r:id="rId34"/>
    <sheet name="Regrid" sheetId="35" r:id="rId35"/>
    <sheet name="RF Compare" sheetId="36" r:id="rId36"/>
    <sheet name="Round" sheetId="37" r:id="rId37"/>
    <sheet name="Save Load Export" sheetId="38" r:id="rId38"/>
    <sheet name="Sector Stats" sheetId="39" r:id="rId39"/>
    <sheet name="SENTRi El to GRIM" sheetId="40" r:id="rId40"/>
    <sheet name="Shift" sheetId="41" r:id="rId41"/>
    <sheet name="Stats" sheetId="42" r:id="rId42"/>
    <sheet name="Swap El Az" sheetId="43" r:id="rId43"/>
    <sheet name="Time Gate" sheetId="44" r:id="rId44"/>
    <sheet name="Waterfall" sheetId="45" r:id="rId45"/>
    <sheet name="Wedge Conic" sheetId="46" r:id="rId46"/>
    <sheet name="Wrap" sheetId="47" r:id="rId4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47" l="1"/>
  <c r="L17" i="47" s="1"/>
  <c r="J16" i="47"/>
  <c r="L16" i="47" s="1"/>
  <c r="J15" i="47"/>
  <c r="J14" i="47"/>
  <c r="L14" i="47" s="1"/>
  <c r="J13" i="47"/>
  <c r="L13" i="47" s="1"/>
  <c r="J12" i="47"/>
  <c r="J11" i="47"/>
  <c r="L11" i="47" s="1"/>
  <c r="J10" i="47"/>
  <c r="L10" i="47" s="1"/>
  <c r="J9" i="47"/>
  <c r="L9" i="47" s="1"/>
  <c r="J8" i="47"/>
  <c r="L8" i="47" s="1"/>
  <c r="I14" i="46"/>
  <c r="K14" i="46" s="1"/>
  <c r="I13" i="46"/>
  <c r="K13" i="46" s="1"/>
  <c r="I12" i="46"/>
  <c r="K12" i="46" s="1"/>
  <c r="I11" i="46"/>
  <c r="K11" i="46" s="1"/>
  <c r="I10" i="46"/>
  <c r="K10" i="46" s="1"/>
  <c r="I9" i="46"/>
  <c r="K9" i="46" s="1"/>
  <c r="I8" i="46"/>
  <c r="K8" i="46" s="1"/>
  <c r="H13" i="45"/>
  <c r="J13" i="45" s="1"/>
  <c r="H12" i="45"/>
  <c r="J12" i="45" s="1"/>
  <c r="H11" i="45"/>
  <c r="J11" i="45" s="1"/>
  <c r="H10" i="45"/>
  <c r="J10" i="45" s="1"/>
  <c r="H9" i="45"/>
  <c r="J9" i="45" s="1"/>
  <c r="H8" i="45"/>
  <c r="J8" i="45" s="1"/>
  <c r="J19" i="44"/>
  <c r="J16" i="43"/>
  <c r="L16" i="43" s="1"/>
  <c r="J15" i="43"/>
  <c r="L15" i="43" s="1"/>
  <c r="J14" i="43"/>
  <c r="L14" i="43" s="1"/>
  <c r="J13" i="43"/>
  <c r="L13" i="43" s="1"/>
  <c r="J12" i="43"/>
  <c r="L12" i="43" s="1"/>
  <c r="J11" i="43"/>
  <c r="L11" i="43" s="1"/>
  <c r="J10" i="43"/>
  <c r="L10" i="43" s="1"/>
  <c r="J9" i="43"/>
  <c r="L9" i="43" s="1"/>
  <c r="J8" i="43"/>
  <c r="L8" i="43" s="1"/>
  <c r="I13" i="42"/>
  <c r="K13" i="42" s="1"/>
  <c r="I12" i="42"/>
  <c r="K12" i="42" s="1"/>
  <c r="I11" i="42"/>
  <c r="K11" i="42" s="1"/>
  <c r="I10" i="42"/>
  <c r="K10" i="42" s="1"/>
  <c r="I9" i="42"/>
  <c r="K9" i="42" s="1"/>
  <c r="I8" i="42"/>
  <c r="K8" i="42" s="1"/>
  <c r="J15" i="41"/>
  <c r="J14" i="41"/>
  <c r="L14" i="41" s="1"/>
  <c r="J13" i="41"/>
  <c r="L13" i="41" s="1"/>
  <c r="J12" i="41"/>
  <c r="L12" i="41" s="1"/>
  <c r="J11" i="41"/>
  <c r="J10" i="41"/>
  <c r="L10" i="41" s="1"/>
  <c r="J9" i="41"/>
  <c r="L9" i="41" s="1"/>
  <c r="J8" i="41"/>
  <c r="L8" i="41" s="1"/>
  <c r="J19" i="40"/>
  <c r="L19" i="40" s="1"/>
  <c r="J18" i="40"/>
  <c r="L18" i="40" s="1"/>
  <c r="J17" i="40"/>
  <c r="L17" i="40" s="1"/>
  <c r="J16" i="40"/>
  <c r="L16" i="40" s="1"/>
  <c r="J15" i="40"/>
  <c r="L15" i="40" s="1"/>
  <c r="J14" i="40"/>
  <c r="L14" i="40" s="1"/>
  <c r="J13" i="40"/>
  <c r="L13" i="40" s="1"/>
  <c r="J12" i="40"/>
  <c r="L12" i="40" s="1"/>
  <c r="J11" i="40"/>
  <c r="L11" i="40" s="1"/>
  <c r="J10" i="40"/>
  <c r="L10" i="40" s="1"/>
  <c r="J9" i="40"/>
  <c r="L9" i="40" s="1"/>
  <c r="J8" i="40"/>
  <c r="L8" i="40" s="1"/>
  <c r="H17" i="39"/>
  <c r="J17" i="39" s="1"/>
  <c r="H16" i="39"/>
  <c r="J16" i="39" s="1"/>
  <c r="H15" i="39"/>
  <c r="J15" i="39" s="1"/>
  <c r="H14" i="39"/>
  <c r="J14" i="39" s="1"/>
  <c r="H13" i="39"/>
  <c r="J13" i="39" s="1"/>
  <c r="H12" i="39"/>
  <c r="J12" i="39" s="1"/>
  <c r="H11" i="39"/>
  <c r="J11" i="39" s="1"/>
  <c r="H10" i="39"/>
  <c r="J10" i="39" s="1"/>
  <c r="H9" i="39"/>
  <c r="J9" i="39" s="1"/>
  <c r="H8" i="39"/>
  <c r="J8" i="39" s="1"/>
  <c r="I14" i="38"/>
  <c r="K14" i="38" s="1"/>
  <c r="I13" i="38"/>
  <c r="K13" i="38" s="1"/>
  <c r="I12" i="38"/>
  <c r="I11" i="38"/>
  <c r="K11" i="38" s="1"/>
  <c r="I10" i="38"/>
  <c r="I9" i="38"/>
  <c r="K9" i="38" s="1"/>
  <c r="I8" i="38"/>
  <c r="K8" i="38" s="1"/>
  <c r="J15" i="37"/>
  <c r="L15" i="37" s="1"/>
  <c r="J14" i="37"/>
  <c r="L14" i="37" s="1"/>
  <c r="J13" i="37"/>
  <c r="L13" i="37" s="1"/>
  <c r="J12" i="37"/>
  <c r="L12" i="37" s="1"/>
  <c r="J11" i="37"/>
  <c r="L11" i="37" s="1"/>
  <c r="J10" i="37"/>
  <c r="L10" i="37" s="1"/>
  <c r="J9" i="37"/>
  <c r="L9" i="37" s="1"/>
  <c r="J8" i="37"/>
  <c r="L8" i="37" s="1"/>
  <c r="J24" i="36"/>
  <c r="J23" i="36"/>
  <c r="J18" i="36"/>
  <c r="J20" i="36" s="1"/>
  <c r="J17" i="36"/>
  <c r="J13" i="36"/>
  <c r="L13" i="36" s="1"/>
  <c r="E13" i="36"/>
  <c r="D13" i="36"/>
  <c r="F13" i="36" s="1"/>
  <c r="G13" i="36" s="1"/>
  <c r="E12" i="36"/>
  <c r="D12" i="36"/>
  <c r="E11" i="36"/>
  <c r="D11" i="36"/>
  <c r="F11" i="36" s="1"/>
  <c r="G11" i="36" s="1"/>
  <c r="E10" i="36"/>
  <c r="D10" i="36"/>
  <c r="J9" i="36"/>
  <c r="L9" i="36" s="1"/>
  <c r="E9" i="36"/>
  <c r="D9" i="36"/>
  <c r="F9" i="36" s="1"/>
  <c r="G9" i="36" s="1"/>
  <c r="E8" i="36"/>
  <c r="D8" i="36"/>
  <c r="F8" i="36" s="1"/>
  <c r="J22" i="35"/>
  <c r="J19" i="35"/>
  <c r="J16" i="35"/>
  <c r="J11" i="35"/>
  <c r="L11" i="35" s="1"/>
  <c r="J8" i="35"/>
  <c r="L8" i="35" s="1"/>
  <c r="K21" i="34"/>
  <c r="K22" i="34" s="1"/>
  <c r="K12" i="34" s="1"/>
  <c r="M12" i="34" s="1"/>
  <c r="K19" i="34"/>
  <c r="K20" i="34" s="1"/>
  <c r="K10" i="34" s="1"/>
  <c r="M10" i="34" s="1"/>
  <c r="K17" i="34"/>
  <c r="K18" i="34" s="1"/>
  <c r="K8" i="34" s="1"/>
  <c r="M8" i="34" s="1"/>
  <c r="K13" i="34"/>
  <c r="M13" i="34" s="1"/>
  <c r="K11" i="34"/>
  <c r="M11" i="34" s="1"/>
  <c r="K9" i="34"/>
  <c r="M9" i="34" s="1"/>
  <c r="J26" i="33"/>
  <c r="J21" i="33"/>
  <c r="J20" i="33"/>
  <c r="J15" i="33"/>
  <c r="J19" i="32"/>
  <c r="J20" i="32" s="1"/>
  <c r="J17" i="32"/>
  <c r="J18" i="32" s="1"/>
  <c r="J13" i="32"/>
  <c r="L13" i="32" s="1"/>
  <c r="J10" i="32"/>
  <c r="L10" i="32" s="1"/>
  <c r="I13" i="31"/>
  <c r="I12" i="31"/>
  <c r="I11" i="31"/>
  <c r="I10" i="31"/>
  <c r="I9" i="31"/>
  <c r="I8" i="31"/>
  <c r="I9" i="30"/>
  <c r="K9" i="30" s="1"/>
  <c r="I8" i="30"/>
  <c r="K8" i="30" s="1"/>
  <c r="I19" i="29"/>
  <c r="K19" i="29" s="1"/>
  <c r="I18" i="29"/>
  <c r="K18" i="29" s="1"/>
  <c r="I17" i="29"/>
  <c r="K17" i="29" s="1"/>
  <c r="I16" i="29"/>
  <c r="K16" i="29" s="1"/>
  <c r="I15" i="29"/>
  <c r="K15" i="29" s="1"/>
  <c r="I14" i="29"/>
  <c r="K14" i="29" s="1"/>
  <c r="I13" i="29"/>
  <c r="K13" i="29" s="1"/>
  <c r="I12" i="29"/>
  <c r="K12" i="29" s="1"/>
  <c r="I11" i="29"/>
  <c r="K11" i="29" s="1"/>
  <c r="I10" i="29"/>
  <c r="K10" i="29" s="1"/>
  <c r="I9" i="29"/>
  <c r="K9" i="29" s="1"/>
  <c r="I8" i="29"/>
  <c r="K8" i="29" s="1"/>
  <c r="J15" i="28"/>
  <c r="L15" i="28" s="1"/>
  <c r="J14" i="28"/>
  <c r="L14" i="28" s="1"/>
  <c r="J13" i="28"/>
  <c r="L13" i="28" s="1"/>
  <c r="J12" i="28"/>
  <c r="L12" i="28" s="1"/>
  <c r="J11" i="28"/>
  <c r="L11" i="28" s="1"/>
  <c r="J10" i="28"/>
  <c r="L10" i="28" s="1"/>
  <c r="J9" i="28"/>
  <c r="L9" i="28" s="1"/>
  <c r="J8" i="28"/>
  <c r="L8" i="28" s="1"/>
  <c r="J16" i="27"/>
  <c r="L16" i="27" s="1"/>
  <c r="J15" i="27"/>
  <c r="L15" i="27" s="1"/>
  <c r="J14" i="27"/>
  <c r="J13" i="27"/>
  <c r="J12" i="27"/>
  <c r="L12" i="27" s="1"/>
  <c r="J11" i="27"/>
  <c r="L11" i="27" s="1"/>
  <c r="J10" i="27"/>
  <c r="L10" i="27" s="1"/>
  <c r="J9" i="27"/>
  <c r="L9" i="27" s="1"/>
  <c r="J8" i="27"/>
  <c r="L8" i="27" s="1"/>
  <c r="J13" i="26"/>
  <c r="L13" i="26" s="1"/>
  <c r="J12" i="26"/>
  <c r="L12" i="26" s="1"/>
  <c r="J11" i="26"/>
  <c r="L11" i="26" s="1"/>
  <c r="J10" i="26"/>
  <c r="L10" i="26" s="1"/>
  <c r="J9" i="26"/>
  <c r="L9" i="26" s="1"/>
  <c r="J8" i="26"/>
  <c r="L8" i="26" s="1"/>
  <c r="I16" i="25"/>
  <c r="K16" i="25" s="1"/>
  <c r="I15" i="25"/>
  <c r="K15" i="25" s="1"/>
  <c r="I14" i="25"/>
  <c r="K14" i="25" s="1"/>
  <c r="I13" i="25"/>
  <c r="K13" i="25" s="1"/>
  <c r="I12" i="25"/>
  <c r="K12" i="25" s="1"/>
  <c r="I11" i="25"/>
  <c r="K11" i="25" s="1"/>
  <c r="I10" i="25"/>
  <c r="K10" i="25" s="1"/>
  <c r="I9" i="25"/>
  <c r="K9" i="25" s="1"/>
  <c r="I8" i="25"/>
  <c r="K8" i="25" s="1"/>
  <c r="J20" i="24"/>
  <c r="J19" i="24"/>
  <c r="J11" i="24" s="1"/>
  <c r="L11" i="24" s="1"/>
  <c r="J15" i="24"/>
  <c r="L15" i="24" s="1"/>
  <c r="J14" i="24"/>
  <c r="L14" i="24" s="1"/>
  <c r="J13" i="24"/>
  <c r="L13" i="24" s="1"/>
  <c r="J12" i="24"/>
  <c r="L12" i="24" s="1"/>
  <c r="J10" i="24"/>
  <c r="L10" i="24" s="1"/>
  <c r="J9" i="24"/>
  <c r="L9" i="24" s="1"/>
  <c r="J8" i="24"/>
  <c r="L8" i="24" s="1"/>
  <c r="J19" i="23"/>
  <c r="J12" i="23"/>
  <c r="L12" i="23" s="1"/>
  <c r="J11" i="23"/>
  <c r="L11" i="23" s="1"/>
  <c r="J10" i="23"/>
  <c r="L10" i="23" s="1"/>
  <c r="J9" i="23"/>
  <c r="L9" i="23" s="1"/>
  <c r="J8" i="23"/>
  <c r="L8" i="23" s="1"/>
  <c r="I13" i="22"/>
  <c r="K13" i="22" s="1"/>
  <c r="I12" i="22"/>
  <c r="K12" i="22" s="1"/>
  <c r="I11" i="22"/>
  <c r="K11" i="22" s="1"/>
  <c r="I10" i="22"/>
  <c r="K10" i="22" s="1"/>
  <c r="I9" i="22"/>
  <c r="K9" i="22" s="1"/>
  <c r="I8" i="22"/>
  <c r="K8" i="22" s="1"/>
  <c r="I13" i="21"/>
  <c r="K13" i="21" s="1"/>
  <c r="I12" i="21"/>
  <c r="K12" i="21" s="1"/>
  <c r="I11" i="21"/>
  <c r="K11" i="21" s="1"/>
  <c r="I10" i="21"/>
  <c r="K10" i="21" s="1"/>
  <c r="I9" i="21"/>
  <c r="K9" i="21" s="1"/>
  <c r="I8" i="21"/>
  <c r="K8" i="21" s="1"/>
  <c r="H27" i="20"/>
  <c r="H14" i="20" s="1"/>
  <c r="J14" i="20" s="1"/>
  <c r="H25" i="20"/>
  <c r="H24" i="20"/>
  <c r="H23" i="20"/>
  <c r="H26" i="20" s="1"/>
  <c r="H13" i="20" s="1"/>
  <c r="J13" i="20" s="1"/>
  <c r="H22" i="20"/>
  <c r="H12" i="20" s="1"/>
  <c r="J12" i="20" s="1"/>
  <c r="H21" i="20"/>
  <c r="H11" i="20" s="1"/>
  <c r="J11" i="20" s="1"/>
  <c r="H20" i="20"/>
  <c r="H10" i="20" s="1"/>
  <c r="J10" i="20" s="1"/>
  <c r="H19" i="20"/>
  <c r="H9" i="20" s="1"/>
  <c r="J9" i="20" s="1"/>
  <c r="H18" i="20"/>
  <c r="H8" i="20" s="1"/>
  <c r="J8" i="20" s="1"/>
  <c r="K16" i="19"/>
  <c r="M16" i="19" s="1"/>
  <c r="K15" i="19"/>
  <c r="M15" i="19" s="1"/>
  <c r="K14" i="19"/>
  <c r="M14" i="19" s="1"/>
  <c r="K13" i="19"/>
  <c r="M13" i="19" s="1"/>
  <c r="H13" i="19"/>
  <c r="K12" i="19"/>
  <c r="M12" i="19" s="1"/>
  <c r="H12" i="19"/>
  <c r="K11" i="19"/>
  <c r="M11" i="19" s="1"/>
  <c r="H11" i="19"/>
  <c r="K10" i="19"/>
  <c r="M10" i="19" s="1"/>
  <c r="H10" i="19"/>
  <c r="K9" i="19"/>
  <c r="M9" i="19" s="1"/>
  <c r="H9" i="19"/>
  <c r="K8" i="19"/>
  <c r="M8" i="19" s="1"/>
  <c r="H8" i="19"/>
  <c r="H32" i="18"/>
  <c r="H15" i="18" s="1"/>
  <c r="J15" i="18" s="1"/>
  <c r="H31" i="18"/>
  <c r="H14" i="18" s="1"/>
  <c r="J14" i="18" s="1"/>
  <c r="H29" i="18"/>
  <c r="H28" i="18"/>
  <c r="H27" i="18"/>
  <c r="H30" i="18" s="1"/>
  <c r="H13" i="18" s="1"/>
  <c r="J13" i="18" s="1"/>
  <c r="H25" i="18"/>
  <c r="H24" i="18"/>
  <c r="H23" i="18"/>
  <c r="H22" i="18"/>
  <c r="H11" i="18" s="1"/>
  <c r="J11" i="18" s="1"/>
  <c r="H21" i="18"/>
  <c r="H10" i="18" s="1"/>
  <c r="J10" i="18" s="1"/>
  <c r="H20" i="18"/>
  <c r="H9" i="18" s="1"/>
  <c r="J9" i="18" s="1"/>
  <c r="H19" i="18"/>
  <c r="H8" i="18" s="1"/>
  <c r="J8" i="18" s="1"/>
  <c r="J16" i="17"/>
  <c r="L16" i="17" s="1"/>
  <c r="J15" i="17"/>
  <c r="L15" i="17" s="1"/>
  <c r="J14" i="17"/>
  <c r="L14" i="17" s="1"/>
  <c r="J13" i="17"/>
  <c r="L13" i="17" s="1"/>
  <c r="J12" i="17"/>
  <c r="L12" i="17" s="1"/>
  <c r="J11" i="17"/>
  <c r="L11" i="17" s="1"/>
  <c r="J10" i="17"/>
  <c r="L10" i="17" s="1"/>
  <c r="J9" i="17"/>
  <c r="L9" i="17" s="1"/>
  <c r="J8" i="17"/>
  <c r="L8" i="17" s="1"/>
  <c r="J17" i="16"/>
  <c r="L17" i="16" s="1"/>
  <c r="J16" i="16"/>
  <c r="L16" i="16" s="1"/>
  <c r="J15" i="16"/>
  <c r="L15" i="16" s="1"/>
  <c r="J14" i="16"/>
  <c r="L14" i="16" s="1"/>
  <c r="J13" i="16"/>
  <c r="L13" i="16" s="1"/>
  <c r="J12" i="16"/>
  <c r="L12" i="16" s="1"/>
  <c r="J11" i="16"/>
  <c r="L11" i="16" s="1"/>
  <c r="J10" i="16"/>
  <c r="L10" i="16" s="1"/>
  <c r="J9" i="16"/>
  <c r="L9" i="16" s="1"/>
  <c r="J8" i="16"/>
  <c r="L8" i="16" s="1"/>
  <c r="G13" i="15"/>
  <c r="I13" i="15" s="1"/>
  <c r="G12" i="15"/>
  <c r="I12" i="15" s="1"/>
  <c r="G11" i="15"/>
  <c r="I11" i="15" s="1"/>
  <c r="G10" i="15"/>
  <c r="I10" i="15" s="1"/>
  <c r="G9" i="15"/>
  <c r="I9" i="15" s="1"/>
  <c r="G8" i="15"/>
  <c r="I8" i="15" s="1"/>
  <c r="I20" i="14"/>
  <c r="I19" i="14"/>
  <c r="I15" i="14"/>
  <c r="K15" i="14" s="1"/>
  <c r="I14" i="14"/>
  <c r="K14" i="14" s="1"/>
  <c r="I13" i="14"/>
  <c r="K13" i="14" s="1"/>
  <c r="I12" i="14"/>
  <c r="K12" i="14" s="1"/>
  <c r="I11" i="14"/>
  <c r="K11" i="14" s="1"/>
  <c r="I10" i="14"/>
  <c r="K10" i="14" s="1"/>
  <c r="I9" i="14"/>
  <c r="K9" i="14" s="1"/>
  <c r="I8" i="14"/>
  <c r="K8" i="14" s="1"/>
  <c r="J25" i="13"/>
  <c r="J24" i="13"/>
  <c r="J16" i="13" s="1"/>
  <c r="L16" i="13" s="1"/>
  <c r="J23" i="13"/>
  <c r="J22" i="13"/>
  <c r="J21" i="13"/>
  <c r="J20" i="13"/>
  <c r="J13" i="13"/>
  <c r="L13" i="13" s="1"/>
  <c r="J12" i="13"/>
  <c r="L12" i="13" s="1"/>
  <c r="J11" i="13"/>
  <c r="L11" i="13" s="1"/>
  <c r="J10" i="13"/>
  <c r="L10" i="13" s="1"/>
  <c r="J9" i="13"/>
  <c r="L9" i="13" s="1"/>
  <c r="J8" i="13"/>
  <c r="L8" i="13" s="1"/>
  <c r="K24" i="12"/>
  <c r="K19" i="12" s="1"/>
  <c r="M19" i="12" s="1"/>
  <c r="K23" i="12"/>
  <c r="K18" i="12"/>
  <c r="M18" i="12" s="1"/>
  <c r="K17" i="12"/>
  <c r="M17" i="12" s="1"/>
  <c r="K16" i="12"/>
  <c r="M16" i="12" s="1"/>
  <c r="K15" i="12"/>
  <c r="M15" i="12" s="1"/>
  <c r="K14" i="12"/>
  <c r="M14" i="12" s="1"/>
  <c r="K13" i="12"/>
  <c r="M13" i="12" s="1"/>
  <c r="K12" i="12"/>
  <c r="M12" i="12" s="1"/>
  <c r="K11" i="12"/>
  <c r="M11" i="12" s="1"/>
  <c r="K10" i="12"/>
  <c r="M10" i="12" s="1"/>
  <c r="K9" i="12"/>
  <c r="M9" i="12" s="1"/>
  <c r="K8" i="12"/>
  <c r="M8" i="12" s="1"/>
  <c r="J13" i="11"/>
  <c r="L13" i="11" s="1"/>
  <c r="J12" i="11"/>
  <c r="L12" i="11" s="1"/>
  <c r="J11" i="11"/>
  <c r="L11" i="11" s="1"/>
  <c r="J10" i="11"/>
  <c r="L10" i="11" s="1"/>
  <c r="J9" i="11"/>
  <c r="L9" i="11" s="1"/>
  <c r="J8" i="11"/>
  <c r="L8" i="11" s="1"/>
  <c r="H21" i="10"/>
  <c r="K20" i="10"/>
  <c r="H20" i="10"/>
  <c r="H19" i="10"/>
  <c r="H18" i="10"/>
  <c r="H17" i="10"/>
  <c r="K16" i="10"/>
  <c r="M16" i="10" s="1"/>
  <c r="H16" i="10"/>
  <c r="K15" i="10"/>
  <c r="M15" i="10" s="1"/>
  <c r="H15" i="10"/>
  <c r="K14" i="10"/>
  <c r="M14" i="10" s="1"/>
  <c r="H14" i="10"/>
  <c r="K13" i="10"/>
  <c r="M13" i="10" s="1"/>
  <c r="H13" i="10"/>
  <c r="K12" i="10"/>
  <c r="M12" i="10" s="1"/>
  <c r="H12" i="10"/>
  <c r="K11" i="10"/>
  <c r="M11" i="10" s="1"/>
  <c r="H11" i="10"/>
  <c r="K10" i="10"/>
  <c r="M10" i="10" s="1"/>
  <c r="H10" i="10"/>
  <c r="K9" i="10"/>
  <c r="M9" i="10" s="1"/>
  <c r="H9" i="10"/>
  <c r="K8" i="10"/>
  <c r="M8" i="10" s="1"/>
  <c r="H8" i="10"/>
  <c r="H21" i="9"/>
  <c r="H20" i="9"/>
  <c r="H19" i="9"/>
  <c r="H18" i="9"/>
  <c r="H17" i="9"/>
  <c r="K16" i="9"/>
  <c r="M16" i="9" s="1"/>
  <c r="H16" i="9"/>
  <c r="K15" i="9"/>
  <c r="M15" i="9" s="1"/>
  <c r="H15" i="9"/>
  <c r="K14" i="9"/>
  <c r="M14" i="9" s="1"/>
  <c r="H14" i="9"/>
  <c r="K13" i="9"/>
  <c r="M13" i="9" s="1"/>
  <c r="H13" i="9"/>
  <c r="K12" i="9"/>
  <c r="M12" i="9" s="1"/>
  <c r="H12" i="9"/>
  <c r="K11" i="9"/>
  <c r="M11" i="9" s="1"/>
  <c r="H11" i="9"/>
  <c r="K10" i="9"/>
  <c r="M10" i="9" s="1"/>
  <c r="H10" i="9"/>
  <c r="K9" i="9"/>
  <c r="M9" i="9" s="1"/>
  <c r="H9" i="9"/>
  <c r="K8" i="9"/>
  <c r="M8" i="9" s="1"/>
  <c r="H8" i="9"/>
  <c r="H21" i="8"/>
  <c r="H20" i="8"/>
  <c r="H19" i="8"/>
  <c r="H18" i="8"/>
  <c r="H17" i="8"/>
  <c r="K16" i="8"/>
  <c r="M16" i="8" s="1"/>
  <c r="H16" i="8"/>
  <c r="K15" i="8"/>
  <c r="M15" i="8" s="1"/>
  <c r="H15" i="8"/>
  <c r="K14" i="8"/>
  <c r="M14" i="8" s="1"/>
  <c r="H14" i="8"/>
  <c r="K13" i="8"/>
  <c r="M13" i="8" s="1"/>
  <c r="H13" i="8"/>
  <c r="K12" i="8"/>
  <c r="M12" i="8" s="1"/>
  <c r="H12" i="8"/>
  <c r="K11" i="8"/>
  <c r="M11" i="8" s="1"/>
  <c r="H11" i="8"/>
  <c r="K10" i="8"/>
  <c r="M10" i="8" s="1"/>
  <c r="H10" i="8"/>
  <c r="K9" i="8"/>
  <c r="M9" i="8" s="1"/>
  <c r="H9" i="8"/>
  <c r="K8" i="8"/>
  <c r="M8" i="8" s="1"/>
  <c r="H8" i="8"/>
  <c r="H15" i="7"/>
  <c r="J15" i="7" s="1"/>
  <c r="H14" i="7"/>
  <c r="J14" i="7" s="1"/>
  <c r="H13" i="7"/>
  <c r="J13" i="7" s="1"/>
  <c r="H12" i="7"/>
  <c r="J12" i="7" s="1"/>
  <c r="H11" i="7"/>
  <c r="J11" i="7" s="1"/>
  <c r="H10" i="7"/>
  <c r="J10" i="7" s="1"/>
  <c r="H9" i="7"/>
  <c r="J9" i="7" s="1"/>
  <c r="H8" i="7"/>
  <c r="J8" i="7" s="1"/>
  <c r="I13" i="6"/>
  <c r="K13" i="6" s="1"/>
  <c r="I12" i="6"/>
  <c r="K12" i="6" s="1"/>
  <c r="I11" i="6"/>
  <c r="K11" i="6" s="1"/>
  <c r="I10" i="6"/>
  <c r="K10" i="6" s="1"/>
  <c r="I9" i="6"/>
  <c r="K9" i="6" s="1"/>
  <c r="I8" i="6"/>
  <c r="K8" i="6" s="1"/>
  <c r="I19" i="5"/>
  <c r="K19" i="5" s="1"/>
  <c r="I18" i="5"/>
  <c r="K18" i="5" s="1"/>
  <c r="I17" i="5"/>
  <c r="K17" i="5" s="1"/>
  <c r="I16" i="5"/>
  <c r="K16" i="5" s="1"/>
  <c r="I15" i="5"/>
  <c r="K15" i="5" s="1"/>
  <c r="I14" i="5"/>
  <c r="K14" i="5" s="1"/>
  <c r="I13" i="5"/>
  <c r="K13" i="5" s="1"/>
  <c r="I12" i="5"/>
  <c r="K12" i="5" s="1"/>
  <c r="I11" i="5"/>
  <c r="K11" i="5" s="1"/>
  <c r="I10" i="5"/>
  <c r="K10" i="5" s="1"/>
  <c r="I9" i="5"/>
  <c r="K9" i="5" s="1"/>
  <c r="I8" i="5"/>
  <c r="K8" i="5" s="1"/>
  <c r="K23" i="4"/>
  <c r="K24" i="4" s="1"/>
  <c r="K13" i="4" s="1"/>
  <c r="M13" i="4" s="1"/>
  <c r="K21" i="4"/>
  <c r="K22" i="4" s="1"/>
  <c r="K12" i="4" s="1"/>
  <c r="M12" i="4" s="1"/>
  <c r="K19" i="4"/>
  <c r="K20" i="4" s="1"/>
  <c r="K10" i="4" s="1"/>
  <c r="M10" i="4" s="1"/>
  <c r="K17" i="4"/>
  <c r="K18" i="4" s="1"/>
  <c r="K8" i="4" s="1"/>
  <c r="M8" i="4" s="1"/>
  <c r="K11" i="4"/>
  <c r="M11" i="4" s="1"/>
  <c r="K9" i="4"/>
  <c r="M9" i="4" s="1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11" i="2"/>
  <c r="L11" i="2" s="1"/>
  <c r="J10" i="2"/>
  <c r="L10" i="2" s="1"/>
  <c r="J9" i="2"/>
  <c r="L9" i="2" s="1"/>
  <c r="J8" i="2"/>
  <c r="L8" i="2" s="1"/>
  <c r="J15" i="13" l="1"/>
  <c r="L15" i="13" s="1"/>
  <c r="J20" i="23"/>
  <c r="J14" i="23"/>
  <c r="L14" i="23" s="1"/>
  <c r="J14" i="13"/>
  <c r="L14" i="13" s="1"/>
  <c r="F12" i="36"/>
  <c r="G12" i="36" s="1"/>
  <c r="F10" i="36"/>
  <c r="H26" i="18"/>
  <c r="H12" i="18" s="1"/>
  <c r="J12" i="18" s="1"/>
  <c r="M11" i="41"/>
  <c r="L11" i="41"/>
  <c r="M15" i="47"/>
  <c r="L15" i="47"/>
  <c r="M12" i="47"/>
  <c r="L12" i="47"/>
  <c r="J23" i="44"/>
  <c r="J22" i="44"/>
  <c r="J21" i="44"/>
  <c r="J20" i="44"/>
  <c r="M15" i="41"/>
  <c r="L15" i="41"/>
  <c r="K12" i="38"/>
  <c r="L12" i="38"/>
  <c r="L10" i="38"/>
  <c r="K10" i="38"/>
  <c r="J21" i="36"/>
  <c r="J19" i="36"/>
  <c r="J22" i="36" s="1"/>
  <c r="G8" i="36"/>
  <c r="J24" i="35"/>
  <c r="J23" i="35"/>
  <c r="J21" i="35"/>
  <c r="J20" i="35"/>
  <c r="J17" i="35"/>
  <c r="J18" i="35"/>
  <c r="J23" i="33"/>
  <c r="J22" i="33"/>
  <c r="J16" i="33"/>
  <c r="J17" i="33"/>
  <c r="J19" i="33" s="1"/>
  <c r="J11" i="32"/>
  <c r="L11" i="32" s="1"/>
  <c r="J12" i="32"/>
  <c r="L12" i="32" s="1"/>
  <c r="J8" i="32"/>
  <c r="L8" i="32" s="1"/>
  <c r="J9" i="32"/>
  <c r="L9" i="32" s="1"/>
  <c r="K13" i="31"/>
  <c r="L13" i="31"/>
  <c r="L12" i="31"/>
  <c r="K12" i="31"/>
  <c r="K11" i="31"/>
  <c r="L11" i="31"/>
  <c r="K10" i="31"/>
  <c r="L10" i="31"/>
  <c r="K9" i="31"/>
  <c r="L9" i="31"/>
  <c r="K8" i="31"/>
  <c r="L8" i="31"/>
  <c r="M14" i="27"/>
  <c r="L14" i="27"/>
  <c r="M13" i="27"/>
  <c r="L13" i="27"/>
  <c r="J13" i="23" l="1"/>
  <c r="L13" i="23" s="1"/>
  <c r="J15" i="23"/>
  <c r="L15" i="23" s="1"/>
  <c r="J10" i="35"/>
  <c r="L10" i="35" s="1"/>
  <c r="G10" i="36"/>
  <c r="J10" i="36"/>
  <c r="L10" i="36" s="1"/>
  <c r="J8" i="36"/>
  <c r="L8" i="36" s="1"/>
  <c r="J9" i="35"/>
  <c r="L9" i="35" s="1"/>
  <c r="J25" i="33"/>
  <c r="J12" i="35"/>
  <c r="L12" i="35" s="1"/>
  <c r="J14" i="44"/>
  <c r="L14" i="44" s="1"/>
  <c r="J15" i="44"/>
  <c r="L15" i="44" s="1"/>
  <c r="J12" i="44"/>
  <c r="L12" i="44" s="1"/>
  <c r="J13" i="44"/>
  <c r="L13" i="44" s="1"/>
  <c r="J10" i="44"/>
  <c r="L10" i="44" s="1"/>
  <c r="J11" i="44"/>
  <c r="L11" i="44" s="1"/>
  <c r="J8" i="44"/>
  <c r="L8" i="44" s="1"/>
  <c r="J9" i="44"/>
  <c r="L9" i="44" s="1"/>
  <c r="J24" i="33"/>
  <c r="J18" i="33"/>
  <c r="J11" i="36" l="1"/>
  <c r="L11" i="36" s="1"/>
  <c r="J12" i="36"/>
  <c r="L12" i="36" s="1"/>
  <c r="J11" i="33"/>
  <c r="L11" i="33" s="1"/>
  <c r="J10" i="33"/>
  <c r="L10" i="33" s="1"/>
  <c r="J9" i="33"/>
  <c r="L9" i="33" s="1"/>
  <c r="J8" i="33"/>
  <c r="L8" i="33" s="1"/>
</calcChain>
</file>

<file path=xl/sharedStrings.xml><?xml version="1.0" encoding="utf-8"?>
<sst xmlns="http://schemas.openxmlformats.org/spreadsheetml/2006/main" count="2145" uniqueCount="661">
  <si>
    <t>GRIM validation examples</t>
  </si>
  <si>
    <t>Each sheet puts raw data beside Excel calculations, GRIM exports and percent error.</t>
  </si>
  <si>
    <t>Blue cells contain live formulas. Yellow cells hold raw inputs and settings.</t>
  </si>
  <si>
    <t>Compact examples are shown here. Full datasets remain in the folders.</t>
  </si>
  <si>
    <t>Validation</t>
  </si>
  <si>
    <t>Dataset folder</t>
  </si>
  <si>
    <t>Comparisons</t>
  </si>
  <si>
    <t>Align</t>
  </si>
  <si>
    <t>datasets/align</t>
  </si>
  <si>
    <t>Axis Units</t>
  </si>
  <si>
    <t>datasets/axis_units</t>
  </si>
  <si>
    <t>Az vs D.R.</t>
  </si>
  <si>
    <t>datasets/azimuth_range</t>
  </si>
  <si>
    <t>Azimuth Polar</t>
  </si>
  <si>
    <t>datasets/polar_plot</t>
  </si>
  <si>
    <t>Azimuth Rect</t>
  </si>
  <si>
    <t>datasets/azimuth_plot</t>
  </si>
  <si>
    <t>CDF</t>
  </si>
  <si>
    <t>datasets/cdf</t>
  </si>
  <si>
    <t>Coherent -</t>
  </si>
  <si>
    <t>datasets/coherent_subtract</t>
  </si>
  <si>
    <t>Coherent +</t>
  </si>
  <si>
    <t>datasets/coherent_add</t>
  </si>
  <si>
    <t>Coherent divide</t>
  </si>
  <si>
    <t>datasets/coherent_divide</t>
  </si>
  <si>
    <t>Crop Slice</t>
  </si>
  <si>
    <t>datasets/crop_slice</t>
  </si>
  <si>
    <t>dBke and dBsm</t>
  </si>
  <si>
    <t>datasets/dbke_dbsm</t>
  </si>
  <si>
    <t>Decimate</t>
  </si>
  <si>
    <t>datasets/decimate</t>
  </si>
  <si>
    <t>Delta dB</t>
  </si>
  <si>
    <t>datasets/delta_db</t>
  </si>
  <si>
    <t>Delta Map</t>
  </si>
  <si>
    <t>datasets/delta_map</t>
  </si>
  <si>
    <t>Duplicate</t>
  </si>
  <si>
    <t>datasets/duplicate</t>
  </si>
  <si>
    <t>El to Az360</t>
  </si>
  <si>
    <t>datasets/el_az360</t>
  </si>
  <si>
    <t>Elevation Sweep</t>
  </si>
  <si>
    <t>datasets/elevation_plot</t>
  </si>
  <si>
    <t>Flip Phase</t>
  </si>
  <si>
    <t>datasets/flip_phase</t>
  </si>
  <si>
    <t>Frequency</t>
  </si>
  <si>
    <t>datasets/frequency_plot</t>
  </si>
  <si>
    <t>Incoherent -</t>
  </si>
  <si>
    <t>datasets/incoherent_subtract</t>
  </si>
  <si>
    <t>Incoherent +</t>
  </si>
  <si>
    <t>datasets/incoherent_add</t>
  </si>
  <si>
    <t>ISAR Image</t>
  </si>
  <si>
    <t>datasets/isar_image</t>
  </si>
  <si>
    <t>Join Merge</t>
  </si>
  <si>
    <t>datasets/join_merge</t>
  </si>
  <si>
    <t>Medianize</t>
  </si>
  <si>
    <t>datasets/medianize</t>
  </si>
  <si>
    <t>Mirror</t>
  </si>
  <si>
    <t>datasets/mirror</t>
  </si>
  <si>
    <t>Offset</t>
  </si>
  <si>
    <t>datasets/offset</t>
  </si>
  <si>
    <t>Overlap</t>
  </si>
  <si>
    <t>datasets/overlap</t>
  </si>
  <si>
    <t>PBP</t>
  </si>
  <si>
    <t>datasets/pbp</t>
  </si>
  <si>
    <t>Percentile</t>
  </si>
  <si>
    <t>datasets/percentile</t>
  </si>
  <si>
    <t>Phase</t>
  </si>
  <si>
    <t>datasets/phase_plot</t>
  </si>
  <si>
    <t>Phase Center</t>
  </si>
  <si>
    <t>datasets/phase_center</t>
  </si>
  <si>
    <t>Range Cal</t>
  </si>
  <si>
    <t>datasets/range_cal</t>
  </si>
  <si>
    <t>Range Freq</t>
  </si>
  <si>
    <t>datasets/range_frequency</t>
  </si>
  <si>
    <t>Regrid</t>
  </si>
  <si>
    <t>datasets/regrid</t>
  </si>
  <si>
    <t>RF Compare</t>
  </si>
  <si>
    <t>datasets/rf_compare</t>
  </si>
  <si>
    <t>Round</t>
  </si>
  <si>
    <t>datasets/round</t>
  </si>
  <si>
    <t>Save Load Export</t>
  </si>
  <si>
    <t>datasets/save_load_export</t>
  </si>
  <si>
    <t>Sector Stats</t>
  </si>
  <si>
    <t>datasets/sector_stats</t>
  </si>
  <si>
    <t>SENTRi El to GRIM</t>
  </si>
  <si>
    <t>datasets/sentri_el_grim</t>
  </si>
  <si>
    <t>Shift</t>
  </si>
  <si>
    <t>datasets/shift</t>
  </si>
  <si>
    <t>Stats</t>
  </si>
  <si>
    <t>datasets/stats</t>
  </si>
  <si>
    <t>Swap El Az</t>
  </si>
  <si>
    <t>datasets/swap_el_az</t>
  </si>
  <si>
    <t>Time Gate</t>
  </si>
  <si>
    <t>datasets/time_gate</t>
  </si>
  <si>
    <t>Waterfall</t>
  </si>
  <si>
    <t>datasets/waterfall</t>
  </si>
  <si>
    <t>Wedge Conic</t>
  </si>
  <si>
    <t>datasets/wedge_conic</t>
  </si>
  <si>
    <t>Wrap</t>
  </si>
  <si>
    <t>datasets/wrap</t>
  </si>
  <si>
    <t>Reference first; intersect mode. Snap the two matching input azimuths to the reference.</t>
  </si>
  <si>
    <t>Blue cells J8:J11 contain the Excel formulas. Click a blue cell to see its formula.</t>
  </si>
  <si>
    <t>Raw data</t>
  </si>
  <si>
    <t>Calculation and comparison</t>
  </si>
  <si>
    <t>Dataset</t>
  </si>
  <si>
    <t>Azimuth (deg)</t>
  </si>
  <si>
    <t>Elevation (deg)</t>
  </si>
  <si>
    <t>Frequency (GHz)</t>
  </si>
  <si>
    <t>Pol</t>
  </si>
  <si>
    <t>RCS (m2)</t>
  </si>
  <si>
    <t>Phase (deg)</t>
  </si>
  <si>
    <t>Quantity</t>
  </si>
  <si>
    <t>Excel calculation</t>
  </si>
  <si>
    <t>GRIM exported</t>
  </si>
  <si>
    <t>Percent error</t>
  </si>
  <si>
    <t>reference</t>
  </si>
  <si>
    <t>VV</t>
  </si>
  <si>
    <t>Output 1: azimuth (deg)</t>
  </si>
  <si>
    <t>Output 1: RCS (m²)</t>
  </si>
  <si>
    <t>Output 2: azimuth (deg)</t>
  </si>
  <si>
    <t>input</t>
  </si>
  <si>
    <t>Output 2: RCS (m²)</t>
  </si>
  <si>
    <t>Files: datasets/align/ (see GUIDE.txt)</t>
  </si>
  <si>
    <t>Percent error = |GRIM − Excel| / |Excel|. A zero reference is shown as n/a.</t>
  </si>
  <si>
    <t>Convert deg to rad and GHz to Hz. The final two comparisons convert back.</t>
  </si>
  <si>
    <t>Blue cells J8:J15 contain the Excel formulas. Click a blue cell to see its formula.</t>
  </si>
  <si>
    <t>Elevation -30 deg to rad</t>
  </si>
  <si>
    <t>Frequency 8 GHz to Hz</t>
  </si>
  <si>
    <t>Azimuth 90 deg to rad</t>
  </si>
  <si>
    <t>RCS retained (m2)</t>
  </si>
  <si>
    <t>Elevation 30 deg to rad</t>
  </si>
  <si>
    <t>Frequency 12 GHz to Hz</t>
  </si>
  <si>
    <t>Inverse elevation (deg)</t>
  </si>
  <si>
    <t>Inverse frequency (GHz)</t>
  </si>
  <si>
    <t>Files: datasets/axis_units/ (see GUIDE.txt)</t>
  </si>
  <si>
    <t>Azimuths 0 and 30 deg; eight frequencies, 1-8 GHz; 32 range bins; no peak normalization.</t>
  </si>
  <si>
    <t>Blue cells K8:K13 contain the Excel formulas. Click a blue cell to see its formula.</t>
  </si>
  <si>
    <t>Input</t>
  </si>
  <si>
    <t>Frequency (Hz)</t>
  </si>
  <si>
    <t>Target range (m)</t>
  </si>
  <si>
    <t>Profile 1</t>
  </si>
  <si>
    <t>Az 0, bin 15: intensity</t>
  </si>
  <si>
    <t>Bin 15: range (m)</t>
  </si>
  <si>
    <t>Az 0, bin 16: intensity</t>
  </si>
  <si>
    <t>Bin 16: range (m)</t>
  </si>
  <si>
    <t>Az 30, bin 20: intensity</t>
  </si>
  <si>
    <t>Az 30, bin 21: intensity</t>
  </si>
  <si>
    <t>Profile 2</t>
  </si>
  <si>
    <t>Calculation steps</t>
  </si>
  <si>
    <t>Az 0, bin 15: range (m)</t>
  </si>
  <si>
    <t>Az 0, bin 15: phase step (rad)</t>
  </si>
  <si>
    <t>Az 0, bin 16: range (m)</t>
  </si>
  <si>
    <t>Az 0, bin 16: phase step (rad)</t>
  </si>
  <si>
    <t>Az 30, bin 20: range (m)</t>
  </si>
  <si>
    <t>Az 30, bin 20: phase step (rad)</t>
  </si>
  <si>
    <t>Az 30, bin 21: range (m)</t>
  </si>
  <si>
    <t>Az 30, bin 21: phase step (rad)</t>
  </si>
  <si>
    <t>Settings used in formulas</t>
  </si>
  <si>
    <t>c (m/s)</t>
  </si>
  <si>
    <t>size</t>
  </si>
  <si>
    <t>n</t>
  </si>
  <si>
    <t>Files: datasets/azimuth_range/ (see GUIDE.txt)</t>
  </si>
  <si>
    <t>One VV cut at elevation 0°, frequency 10 GHz.</t>
  </si>
  <si>
    <t>Blue cells I8:I19 contain the Excel formulas. Click a blue cell to see its formula.</t>
  </si>
  <si>
    <t>RCS (m²)</t>
  </si>
  <si>
    <t>Sample 1: Plotted azimuth (rad)</t>
  </si>
  <si>
    <t>Sample 1: Level (dBsm)</t>
  </si>
  <si>
    <t>Sample 2: Plotted azimuth (rad)</t>
  </si>
  <si>
    <t>Sample 2: Level (dBsm)</t>
  </si>
  <si>
    <t>missing</t>
  </si>
  <si>
    <t>Sample 3: Plotted azimuth (rad)</t>
  </si>
  <si>
    <t>Sample 3: Level (dBsm)</t>
  </si>
  <si>
    <t>Sample 4: Plotted azimuth (rad)</t>
  </si>
  <si>
    <t>Sample 4: Level (dBsm)</t>
  </si>
  <si>
    <t>Sample 5: Plotted azimuth (rad)</t>
  </si>
  <si>
    <t>Sample 5: Level (dBsm)</t>
  </si>
  <si>
    <t>Sample 6: Plotted azimuth (rad)</t>
  </si>
  <si>
    <t>Files: datasets/polar_plot/ (see GUIDE.txt)</t>
  </si>
  <si>
    <t>Sample 6: Level (dBsm)</t>
  </si>
  <si>
    <t>For dB results, percent error compares the equivalent linear power.</t>
  </si>
  <si>
    <t>Blue cells I8:I13 contain the Excel formulas. Click a blue cell to see its formula.</t>
  </si>
  <si>
    <t>Files: datasets/azimuth_plot/ (see GUIDE.txt)</t>
  </si>
  <si>
    <t>Inclusive empirical CDF and exceedance; missing values are excluded.</t>
  </si>
  <si>
    <t>Blue cells H8:H15 contain the Excel formulas. Click a blue cell to see its formula.</t>
  </si>
  <si>
    <t>Threshold 0.0: cdf (%)</t>
  </si>
  <si>
    <t>Threshold 0.0: exceedance (%)</t>
  </si>
  <si>
    <t>Threshold 1.0: cdf (%)</t>
  </si>
  <si>
    <t>Threshold 1.0: exceedance (%)</t>
  </si>
  <si>
    <t>Threshold 4.0: cdf (%)</t>
  </si>
  <si>
    <t>Threshold 4.0: exceedance (%)</t>
  </si>
  <si>
    <t>Threshold 9.0: cdf (%)</t>
  </si>
  <si>
    <t>Threshold 9.0: exceedance (%)</t>
  </si>
  <si>
    <t>Files: datasets/cdf/ (see GUIDE.txt)</t>
  </si>
  <si>
    <t>Load input_a and input_b. Operand order is A then B. The workbook shows the two-operand result.</t>
  </si>
  <si>
    <t>Blue cells K8:K16 contain the Excel formulas. Click a blue cell to see its formula.</t>
  </si>
  <si>
    <t>I (sqrt m²)</t>
  </si>
  <si>
    <t>Q (sqrt m²)</t>
  </si>
  <si>
    <t>RCS (m², calc.)</t>
  </si>
  <si>
    <t>A</t>
  </si>
  <si>
    <t>Az 0: output linear RCS</t>
  </si>
  <si>
    <t>Az 1: output linear RCS</t>
  </si>
  <si>
    <t>Az 2: output linear RCS</t>
  </si>
  <si>
    <t>Az 3: output linear RCS</t>
  </si>
  <si>
    <t>Az 4: output linear RCS</t>
  </si>
  <si>
    <t>Az 5: output linear RCS</t>
  </si>
  <si>
    <t>Az 6: output linear RCS</t>
  </si>
  <si>
    <t>B</t>
  </si>
  <si>
    <t>Az 0: output I</t>
  </si>
  <si>
    <t>Az 0: output Q</t>
  </si>
  <si>
    <t>Files: datasets/coherent_subtract/ (see GUIDE.txt)</t>
  </si>
  <si>
    <t>Files: datasets/coherent_add/ (see GUIDE.txt)</t>
  </si>
  <si>
    <t>Az 0: output power ratio</t>
  </si>
  <si>
    <t>Az 1: output power ratio</t>
  </si>
  <si>
    <t>Az 2: output power ratio</t>
  </si>
  <si>
    <t>Az 3: output power ratio</t>
  </si>
  <si>
    <t>Az 4: output power ratio</t>
  </si>
  <si>
    <t>Az 5: output power ratio</t>
  </si>
  <si>
    <t>Az 6: output power ratio</t>
  </si>
  <si>
    <t>Sample 0: denominator power (power)</t>
  </si>
  <si>
    <t>Files: datasets/coherent_divide/ (see GUIDE.txt)</t>
  </si>
  <si>
    <t>Crop azimuth 10 to 30 deg, stride 2. Shown slice: elevation 5 deg, 10 GHz, HH.</t>
  </si>
  <si>
    <t>Blue cells J8:J13 contain the Excel formulas. Click a blue cell to see its formula.</t>
  </si>
  <si>
    <t>HH</t>
  </si>
  <si>
    <t>Output 1: elevation (deg)</t>
  </si>
  <si>
    <t>Output 1: frequency (GHz)</t>
  </si>
  <si>
    <t>Files: datasets/crop_slice/ (see GUIDE.txt)</t>
  </si>
  <si>
    <t>Extrusion length 2.5 m. Convert input_3d to dBke and input_2d to dBsm.</t>
  </si>
  <si>
    <t>Blue cells K8:K19 contain the Excel formulas. Click a blue cell to see its formula.</t>
  </si>
  <si>
    <t>Sample</t>
  </si>
  <si>
    <t>3-D RCS (m²)</t>
  </si>
  <si>
    <t>2-D RCS (m)</t>
  </si>
  <si>
    <t>3-D sample 0: scattering width (m)</t>
  </si>
  <si>
    <t>2-D sample 0: RCS area (m²)</t>
  </si>
  <si>
    <t>3-D sample 1: scattering width (m)</t>
  </si>
  <si>
    <t>2-D sample 1: RCS area (m²)</t>
  </si>
  <si>
    <t>3-D sample 2: scattering width (m)</t>
  </si>
  <si>
    <t>2-D sample 2: RCS area (m²)</t>
  </si>
  <si>
    <t>3-D sample 4: scattering width (m)</t>
  </si>
  <si>
    <t>2-D sample 4: RCS area (m²)</t>
  </si>
  <si>
    <t>3-D sample 5: scattering width (m)</t>
  </si>
  <si>
    <t>Extrusion length (m)</t>
  </si>
  <si>
    <t>2-D sample 5: RCS area (m²)</t>
  </si>
  <si>
    <t>Speed of light (m/s)</t>
  </si>
  <si>
    <t>3-D sample 0: converted dBke</t>
  </si>
  <si>
    <t>2-D sample 0: converted dBsm</t>
  </si>
  <si>
    <t>Files: datasets/dbke_dbsm/ (see GUIDE.txt)</t>
  </si>
  <si>
    <t>Sample 0: expected width (m)</t>
  </si>
  <si>
    <t>Sample 0: expected area (m2)</t>
  </si>
  <si>
    <t>Decimate (BETA)</t>
  </si>
  <si>
    <t>Factor 2, keep final partial bin. Power mode averages finite powers; coherent mode averages I/Q.</t>
  </si>
  <si>
    <t>Blue cells J8:J16 contain the Excel formulas. Click a blue cell to see its formula.</t>
  </si>
  <si>
    <t>input_power</t>
  </si>
  <si>
    <t>keep bin 1: Coordinate center (deg)</t>
  </si>
  <si>
    <t>keep bin 1: Power mean (m²)</t>
  </si>
  <si>
    <t>keep bin 2: Coordinate center (deg)</t>
  </si>
  <si>
    <t>keep bin 2: Power mean (m²)</t>
  </si>
  <si>
    <t>keep bin 3: Coordinate center (deg)</t>
  </si>
  <si>
    <t>input_coherent</t>
  </si>
  <si>
    <t>keep bin 3: Power mean (m²)</t>
  </si>
  <si>
    <t>Coherent bin 1: Power of mean field (m²)</t>
  </si>
  <si>
    <t>Coherent bin 2: Power of mean field (m²)</t>
  </si>
  <si>
    <t>Coherent bin 3: Power of mean field (m²)</t>
  </si>
  <si>
    <t>Coherent bin 1 mean I</t>
  </si>
  <si>
    <t>Coherent bin 1 mean Q</t>
  </si>
  <si>
    <t>Coherent bin 2 mean I</t>
  </si>
  <si>
    <t>Files: datasets/decimate/ (see GUIDE.txt)</t>
  </si>
  <si>
    <t>Coherent bin 2 mean Q</t>
  </si>
  <si>
    <t>Coherent bin 3 mean I</t>
  </si>
  <si>
    <t>Coherent bin 3 mean Q</t>
  </si>
  <si>
    <t>Select input_a first and input_b second; use Delta dB. Zero denominator is missing.</t>
  </si>
  <si>
    <t>Blue cells I8:I15 contain the Excel formulas. Click a blue cell to see its formula.</t>
  </si>
  <si>
    <t>Az 0: A / B power ratio</t>
  </si>
  <si>
    <t>Az 1: A / B power ratio</t>
  </si>
  <si>
    <t>Az 2: A / B power ratio</t>
  </si>
  <si>
    <t>Az 3: A / B power ratio</t>
  </si>
  <si>
    <t>Az 4: A / B power ratio</t>
  </si>
  <si>
    <t>Az 5: A / B power ratio</t>
  </si>
  <si>
    <t>Az 0: A minus B level (dB)</t>
  </si>
  <si>
    <t>Az 3: A minus B level (dB)</t>
  </si>
  <si>
    <t>Azimuth 0: expected ratio (ratio)</t>
  </si>
  <si>
    <t>Azimuth 3: expected ratio (ratio)</t>
  </si>
  <si>
    <t>Files: datasets/delta_db/ (see GUIDE.txt)</t>
  </si>
  <si>
    <t>A minus B in dB; elevation 0°, VV. Zero or missing power has no finite dB difference.</t>
  </si>
  <si>
    <t>Blue cells G8:G13 contain the Excel formulas. Click a blue cell to see its formula.</t>
  </si>
  <si>
    <t>A RCS (m²)</t>
  </si>
  <si>
    <t>B RCS (m²)</t>
  </si>
  <si>
    <t>Az 0°, 8 GHz (dB)</t>
  </si>
  <si>
    <t>Az 0°, 9 GHz (dB)</t>
  </si>
  <si>
    <t>Az 0°, 10 GHz (dB)</t>
  </si>
  <si>
    <t>Az 90°, 8 GHz (dB)</t>
  </si>
  <si>
    <t>Az 90°, 9 GHz (dB)</t>
  </si>
  <si>
    <t>Az 90°, 10 GHz (dB)</t>
  </si>
  <si>
    <t>Files: datasets/delta_map/ (see GUIDE.txt)</t>
  </si>
  <si>
    <t>Duplicate the dataset. Compare copied RCS, zero, missing, and coordinates.</t>
  </si>
  <si>
    <t>Blue cells J8:J17 contain the Excel formulas. Click a blue cell to see its formula.</t>
  </si>
  <si>
    <t>Output 3: RCS (m²)</t>
  </si>
  <si>
    <t>Output 4: RCS (m²)</t>
  </si>
  <si>
    <t>Output 5: RCS (m²)</t>
  </si>
  <si>
    <t>Output 6: RCS (m²)</t>
  </si>
  <si>
    <t>Output 7: RCS (m²)</t>
  </si>
  <si>
    <t>Output 8: RCS (m²)</t>
  </si>
  <si>
    <t>Output 8: azimuth (deg)</t>
  </si>
  <si>
    <t>Output 8: frequency (GHz)</t>
  </si>
  <si>
    <t>Files: datasets/duplicate/ (see GUIDE.txt)</t>
  </si>
  <si>
    <t>El to Az360 (BETA)</t>
  </si>
  <si>
    <t>Attested opposite elevation pair. Shift +10 deg cut by 180 deg azimuth; output elevation stays -10 deg.</t>
  </si>
  <si>
    <t>Output 3: azimuth (deg)</t>
  </si>
  <si>
    <t>Output 4: azimuth (deg)</t>
  </si>
  <si>
    <t>Files: datasets/el_az360/ (see GUIDE.txt)</t>
  </si>
  <si>
    <t>Reduce the three azimuths in linear power, then convert the result to dBsm.</t>
  </si>
  <si>
    <t>Mean at 0° (dBsm)</t>
  </si>
  <si>
    <t>Mean at 30° (dBsm)</t>
  </si>
  <si>
    <t>Median at 0° (dBsm)</t>
  </si>
  <si>
    <t>Median at 30° (dBsm)</t>
  </si>
  <si>
    <t>Percentile at 0° (dBsm)</t>
  </si>
  <si>
    <t>Percentile at 30° (dBsm)</t>
  </si>
  <si>
    <t>Max at 0° (dBsm)</t>
  </si>
  <si>
    <t>Max at 30° (dBsm)</t>
  </si>
  <si>
    <t>Percentile setting (%)</t>
  </si>
  <si>
    <t>mean power, cut 1, sample 1 (m^2)</t>
  </si>
  <si>
    <t>Files: datasets/elevation_plot/ (see GUIDE.txt)</t>
  </si>
  <si>
    <t>mean power, cut 1, sample 2 (m^2)</t>
  </si>
  <si>
    <t>median power, cut 1, sample 1 (m^2)</t>
  </si>
  <si>
    <t>median power, cut 1, sample 2 (m^2)</t>
  </si>
  <si>
    <t>P90 cut 1, sample 1, azimuth member 1 (m^2)</t>
  </si>
  <si>
    <t>P90 cut 1, sample 1, azimuth member 2 (m^2)</t>
  </si>
  <si>
    <t>P90 cut 1, sample 1, azimuth member 3 (m^2)</t>
  </si>
  <si>
    <t>percentile power, cut 1, sample 1 (m^2)</t>
  </si>
  <si>
    <t>P90 cut 1, sample 2, azimuth member 1 (m^2)</t>
  </si>
  <si>
    <t>P90 cut 1, sample 2, azimuth member 2 (m^2)</t>
  </si>
  <si>
    <t>P90 cut 1, sample 2, azimuth member 3 (m^2)</t>
  </si>
  <si>
    <t>percentile power, cut 1, sample 2 (m^2)</t>
  </si>
  <si>
    <t>max power, cut 1, sample 1 (m^2)</t>
  </si>
  <si>
    <t>max power, cut 1, sample 2 (m^2)</t>
  </si>
  <si>
    <t>Apply Flip Phase once. Complex conjugation preserves I and negates Q.</t>
  </si>
  <si>
    <t>Az 0: Q after phase flip</t>
  </si>
  <si>
    <t>Az 1: Q after phase flip</t>
  </si>
  <si>
    <t>Az 2: Q after phase flip</t>
  </si>
  <si>
    <t>Az 3: Q after phase flip</t>
  </si>
  <si>
    <t>Az 4: Q after phase flip</t>
  </si>
  <si>
    <t>Az 5: Q after phase flip</t>
  </si>
  <si>
    <t>Az 0: preserved linear RCS</t>
  </si>
  <si>
    <t>Az 3: zero linear RCS</t>
  </si>
  <si>
    <t>Az 0: preserved I</t>
  </si>
  <si>
    <t>Files: datasets/flip_phase/ (see GUIDE.txt)</t>
  </si>
  <si>
    <t>Blue cells H8:H14 contain the Excel formulas. Click a blue cell to see its formula.</t>
  </si>
  <si>
    <t>Mean at 8 GHz (dBsm)</t>
  </si>
  <si>
    <t>Mean at 9 GHz (dBsm)</t>
  </si>
  <si>
    <t>Mean at 10 GHz (dBsm)</t>
  </si>
  <si>
    <t>Mean at 11 GHz (dBsm)</t>
  </si>
  <si>
    <t>Median at 9 GHz (dBsm)</t>
  </si>
  <si>
    <t>Percentile at 9 GHz (dBsm)</t>
  </si>
  <si>
    <t>Max at 9 GHz (dBsm)</t>
  </si>
  <si>
    <t>mean power, cut 1, sample 3 (m^2)</t>
  </si>
  <si>
    <t>mean power, cut 1, sample 4 (m^2)</t>
  </si>
  <si>
    <t>Files: datasets/frequency_plot/ (see GUIDE.txt)</t>
  </si>
  <si>
    <t>Select input_a first and input_b second. Result has no coherent phase.</t>
  </si>
  <si>
    <t>Files: datasets/incoherent_subtract/ (see GUIDE.txt)</t>
  </si>
  <si>
    <t>Files: datasets/incoherent_add/ (see GUIDE.txt)</t>
  </si>
  <si>
    <t>ISAR Image (BETA)</t>
  </si>
  <si>
    <t>Full input: 17 azimuths, -4 to 4 deg; 33 frequencies, 9-11 GHz; Fast and Accurate PFA.</t>
  </si>
  <si>
    <t>Origin 1</t>
  </si>
  <si>
    <t>Fast: peak intensity</t>
  </si>
  <si>
    <t>Origin middle</t>
  </si>
  <si>
    <t>Fast: range resolution (m)</t>
  </si>
  <si>
    <t>Origin 561</t>
  </si>
  <si>
    <t>Fast: cross resolution (m)</t>
  </si>
  <si>
    <t>Fast: Range half extent (m)</t>
  </si>
  <si>
    <t>Accurate: peak intensity</t>
  </si>
  <si>
    <t>Accurate: range resolution (m)</t>
  </si>
  <si>
    <t>Accurate: cross resolution (m)</t>
  </si>
  <si>
    <t>df (Hz)</t>
  </si>
  <si>
    <t>Accurate: Range half extent (m)</t>
  </si>
  <si>
    <t>nf</t>
  </si>
  <si>
    <t>Files: datasets/isar_image/ (see GUIDE.txt)</t>
  </si>
  <si>
    <t>Inscribed Cartesian maximum U frequency (Hz)</t>
  </si>
  <si>
    <t>Inscribed Cartesian maximum V frequency (Hz)</t>
  </si>
  <si>
    <t>Merge A+B: compare the four policies at 10 deg. Join A+C: retain the new 40 and 50 deg samples.</t>
  </si>
  <si>
    <t>input_a</t>
  </si>
  <si>
    <t>10 deg: first input RCS</t>
  </si>
  <si>
    <t>10 deg: last input RCS</t>
  </si>
  <si>
    <t>10 deg: mean power</t>
  </si>
  <si>
    <t>input_b</t>
  </si>
  <si>
    <t>10 deg: power of mean field</t>
  </si>
  <si>
    <t>Joined azimuth 40 deg</t>
  </si>
  <si>
    <t>Joined RCS at 40 deg</t>
  </si>
  <si>
    <t>input_c_no_overlap</t>
  </si>
  <si>
    <t>Joined azimuth 50 deg</t>
  </si>
  <si>
    <t>Joined RCS at 50 deg</t>
  </si>
  <si>
    <t>Overlap mean I</t>
  </si>
  <si>
    <t>Overlap mean Q</t>
  </si>
  <si>
    <t>Files: datasets/join_merge/ (see GUIDE.txt)</t>
  </si>
  <si>
    <t>Periodic: window 200 deg, slide 90 deg. Open/gapped: window 20 deg, slide 20 deg, nonperiodic.</t>
  </si>
  <si>
    <t>Blue cells I8:I16 contain the Excel formulas. Click a blue cell to see its formula.</t>
  </si>
  <si>
    <t>Periodic</t>
  </si>
  <si>
    <t>Periodic center 0 deg</t>
  </si>
  <si>
    <t>Periodic center 90 deg</t>
  </si>
  <si>
    <t>Periodic center 180 deg</t>
  </si>
  <si>
    <t>Periodic center 270 deg</t>
  </si>
  <si>
    <t>Gapped center 10 deg</t>
  </si>
  <si>
    <t>Gapped</t>
  </si>
  <si>
    <t>Gapped center 30 deg</t>
  </si>
  <si>
    <t>Gapped center 50 deg</t>
  </si>
  <si>
    <t>Gapped center 70 deg</t>
  </si>
  <si>
    <t>Gapped center 90 deg</t>
  </si>
  <si>
    <t>Files: datasets/medianize/ (see GUIDE.txt)</t>
  </si>
  <si>
    <t>Mirror about 15 deg: new azimuth = 2 x 15 - old azimuth; keep each RCS sample.</t>
  </si>
  <si>
    <t>Output 5: azimuth (deg)</t>
  </si>
  <si>
    <t>Mirror reference (deg)</t>
  </si>
  <si>
    <t>Files: datasets/mirror/ (see GUIDE.txt)</t>
  </si>
  <si>
    <t>Offset +6 dB. A second output applies -6 dB to the first output.</t>
  </si>
  <si>
    <t>Phase error (deg)</t>
  </si>
  <si>
    <t>Az 0: power after +6 dB</t>
  </si>
  <si>
    <t>Az 1: power after +6 dB</t>
  </si>
  <si>
    <t>Az 2: power after +6 dB</t>
  </si>
  <si>
    <t>Az 3: power after +6 dB</t>
  </si>
  <si>
    <t>Az 4: power after +6 dB</t>
  </si>
  <si>
    <t>Az 0: preserved phase</t>
  </si>
  <si>
    <t>Az 2: preserved phase</t>
  </si>
  <si>
    <t>Az 0: power after reversing offset</t>
  </si>
  <si>
    <t>Level offset (dB)</t>
  </si>
  <si>
    <t>Az 2: power after reversing offset</t>
  </si>
  <si>
    <t>Files: datasets/offset/ (see GUIDE.txt)</t>
  </si>
  <si>
    <t>Phase is compared using wrapped error in degrees; percent error is not defined for angles.</t>
  </si>
  <si>
    <t>Keep common azimuths 10 and 20 deg. A missing HH value at 10 deg masks that cell in both results.</t>
  </si>
  <si>
    <t>A, 10 deg HH: RCS</t>
  </si>
  <si>
    <t>A, 10 deg VV: RCS</t>
  </si>
  <si>
    <t>A, 20 deg HH: RCS</t>
  </si>
  <si>
    <t>A, 20 deg VV: RCS</t>
  </si>
  <si>
    <t>B, 10 deg HH: RCS</t>
  </si>
  <si>
    <t>B, 10 deg VV: RCS</t>
  </si>
  <si>
    <t>B, 20 deg HH: RCS</t>
  </si>
  <si>
    <t>B, 20 deg VV: RCS</t>
  </si>
  <si>
    <t>Files: datasets/overlap/ (see GUIDE.txt)</t>
  </si>
  <si>
    <t>Two datasets; each band is the minimum and maximum of its three azimuth cuts.</t>
  </si>
  <si>
    <t>input_1</t>
  </si>
  <si>
    <t>Dataset 1, 8 GHz lower (m²)</t>
  </si>
  <si>
    <t>Dataset 1, 8 GHz upper (m²)</t>
  </si>
  <si>
    <t>Dataset 1, 9 GHz lower (m²)</t>
  </si>
  <si>
    <t>Dataset 1, 9 GHz upper (m²)</t>
  </si>
  <si>
    <t>Dataset 1, 10 GHz lower (m²)</t>
  </si>
  <si>
    <t>Dataset 1, 10 GHz upper (m²)</t>
  </si>
  <si>
    <t>Dataset 2, 8 GHz lower (m²)</t>
  </si>
  <si>
    <t>Dataset 2, 8 GHz upper (m²)</t>
  </si>
  <si>
    <t>Dataset 2, 9 GHz lower (m²)</t>
  </si>
  <si>
    <t>input_2</t>
  </si>
  <si>
    <t>Dataset 2, 9 GHz upper (m²)</t>
  </si>
  <si>
    <t>Dataset 2, 10 GHz lower (m²)</t>
  </si>
  <si>
    <t>Dataset 2, 10 GHz upper (m²)</t>
  </si>
  <si>
    <t>Files: datasets/pbp/ (see GUIDE.txt)</t>
  </si>
  <si>
    <t>Percentile 90 over azimuth, separately for A and B. Shown trace: 8 GHz, VV. The datasets are not pooled.</t>
  </si>
  <si>
    <t>Blue cells I8:I9 contain the Excel formulas. Click a blue cell to see its formula.</t>
  </si>
  <si>
    <t>Dataset A: 90th percentile</t>
  </si>
  <si>
    <t>Dataset B: 90th percentile</t>
  </si>
  <si>
    <t>Files: datasets/percentile/ (see GUIDE.txt)</t>
  </si>
  <si>
    <t>Sample 1: Phase (deg)</t>
  </si>
  <si>
    <t>Sample 2: Phase (deg)</t>
  </si>
  <si>
    <t>Sample 3: Phase (deg)</t>
  </si>
  <si>
    <t>Sample 4: Phase (deg)</t>
  </si>
  <si>
    <t>Sample 5: Phase (deg)</t>
  </si>
  <si>
    <t>Sample 6: Phase (deg)</t>
  </si>
  <si>
    <t>Files: datasets/phase_plot/ (see GUIDE.txt)</t>
  </si>
  <si>
    <t>Phase Center (BETA)</t>
  </si>
  <si>
    <t>x = 0.031 m, y = -0.017 m, z = 0.009 m; both declared time signs.</t>
  </si>
  <si>
    <t>+ time</t>
  </si>
  <si>
    <t>+ time: Field I (m)</t>
  </si>
  <si>
    <t>- time</t>
  </si>
  <si>
    <t>+ time: Field Q (m)</t>
  </si>
  <si>
    <t>+ time: RCS (m2)</t>
  </si>
  <si>
    <t>- time: Field I (m)</t>
  </si>
  <si>
    <t>- time: Field Q (m)</t>
  </si>
  <si>
    <t>x (m)</t>
  </si>
  <si>
    <t>- time: RCS (m2)</t>
  </si>
  <si>
    <t>y (m)</t>
  </si>
  <si>
    <t>z (m)</t>
  </si>
  <si>
    <t>positive_time sample 1: body projection (m)</t>
  </si>
  <si>
    <t>positive_time sample 1: output angle (rad)</t>
  </si>
  <si>
    <t>Files: datasets/phase_center/ (see GUIDE.txt)</t>
  </si>
  <si>
    <t>negative_time sample 1: body projection (m)</t>
  </si>
  <si>
    <t>negative_time sample 1: output angle (rad)</t>
  </si>
  <si>
    <t>Range Cal (BETA)</t>
  </si>
  <si>
    <t>8 GHz example; signed reference offsets +0.0125 m and -0.0125 m.</t>
  </si>
  <si>
    <t>Field I (m)</t>
  </si>
  <si>
    <t>Field Q (m)</t>
  </si>
  <si>
    <t>+ DUT</t>
  </si>
  <si>
    <t>+ offset: Field I (m)</t>
  </si>
  <si>
    <t>+ measured</t>
  </si>
  <si>
    <t>+ offset: Field Q (m)</t>
  </si>
  <si>
    <t>+ reference</t>
  </si>
  <si>
    <t>- offset: Field I (m)</t>
  </si>
  <si>
    <t>- DUT</t>
  </si>
  <si>
    <t>- offset: Field Q (m)</t>
  </si>
  <si>
    <t>- measured</t>
  </si>
  <si>
    <t>- reference</t>
  </si>
  <si>
    <t>plus f1: measured power (m2)</t>
  </si>
  <si>
    <t>plus f1: exact/measured I</t>
  </si>
  <si>
    <t>plus f1: exact/measured Q</t>
  </si>
  <si>
    <t>plus range offset (m)</t>
  </si>
  <si>
    <t>plus f1: DUT times quotient I</t>
  </si>
  <si>
    <t>minus range offset (m)</t>
  </si>
  <si>
    <t>plus f1: DUT times quotient Q</t>
  </si>
  <si>
    <t>plus f1: signed range angle (rad)</t>
  </si>
  <si>
    <t>minus f1: measured power (m2)</t>
  </si>
  <si>
    <t>Files: datasets/range_cal/ (see GUIDE.txt)</t>
  </si>
  <si>
    <t>minus f1: exact/measured I</t>
  </si>
  <si>
    <t>minus f1: exact/measured Q</t>
  </si>
  <si>
    <t>minus f1: DUT times quotient I</t>
  </si>
  <si>
    <t>minus f1: DUT times quotient Q</t>
  </si>
  <si>
    <t>minus f1: signed range angle (rad)</t>
  </si>
  <si>
    <t>Eight frequencies, 1-8 GHz; 64 range bins; rectangular window; declared negative range law.</t>
  </si>
  <si>
    <t>Point</t>
  </si>
  <si>
    <t>Bin 36: RCS (m2)</t>
  </si>
  <si>
    <t>Bin 36: range (m)</t>
  </si>
  <si>
    <t>Bin 37: RCS (m2)</t>
  </si>
  <si>
    <t>Bin 37: range (m)</t>
  </si>
  <si>
    <t>Bin 38: RCS (m2)</t>
  </si>
  <si>
    <t>Bin 38: range (m)</t>
  </si>
  <si>
    <t>Bin 36 range (m)</t>
  </si>
  <si>
    <t>Bin 36 phase step (rad)</t>
  </si>
  <si>
    <t>Bin 37 range (m)</t>
  </si>
  <si>
    <t>Bin 37 phase step (rad)</t>
  </si>
  <si>
    <t>Bin 38 range (m)</t>
  </si>
  <si>
    <t>Bin 38 phase step (rad)</t>
  </si>
  <si>
    <t>Files: datasets/range_frequency/ (see GUIDE.txt)</t>
  </si>
  <si>
    <t>Interpolate I and Q to 5 and 15 deg. The 10 deg result is an unchanged source node.</t>
  </si>
  <si>
    <t>Blue cells J8:J12 contain the Excel formulas. Click a blue cell to see its formula.</t>
  </si>
  <si>
    <t>Sample 2: Azimuth (deg)</t>
  </si>
  <si>
    <t>Sample 2: Power (m²)</t>
  </si>
  <si>
    <t>Sample 3: Power (m²)</t>
  </si>
  <si>
    <t>Sample 4: Azimuth (deg)</t>
  </si>
  <si>
    <t>Sample 4: Power (m²)</t>
  </si>
  <si>
    <t>Target azimuth 2 (deg)</t>
  </si>
  <si>
    <t>Target azimuth 3 (deg)</t>
  </si>
  <si>
    <t>Target azimuth 4 (deg)</t>
  </si>
  <si>
    <t>Fraction between source samples 1 and 2</t>
  </si>
  <si>
    <t>Interpolated I at 5 deg</t>
  </si>
  <si>
    <t>Interpolated Q at 5 deg</t>
  </si>
  <si>
    <t>Files: datasets/regrid/ (see GUIDE.txt)</t>
  </si>
  <si>
    <t>Fraction between source samples 2 and 3</t>
  </si>
  <si>
    <t>Interpolated I at 10 deg</t>
  </si>
  <si>
    <t>Interpolated Q at 10 deg</t>
  </si>
  <si>
    <t>Interpolated I at 15 deg</t>
  </si>
  <si>
    <t>Interpolated Q at 15 deg</t>
  </si>
  <si>
    <t>Magnitude comparison using gain_x4_left and gain_x4_right; 10 GHz, elevation 0°, VV.</t>
  </si>
  <si>
    <t>A (dBsm, calc.)</t>
  </si>
  <si>
    <t>B (dBsm, calc.)</t>
  </si>
  <si>
    <t>Difference (dB)</t>
  </si>
  <si>
    <t>|Difference| (dB)</t>
  </si>
  <si>
    <t>Linear CCC</t>
  </si>
  <si>
    <t>Normalized RMS error</t>
  </si>
  <si>
    <t>Median A − B (dB)</t>
  </si>
  <si>
    <t>Mean absolute difference (dB)</t>
  </si>
  <si>
    <t>P95 absolute difference (dB)</t>
  </si>
  <si>
    <t>Peak azimuth offset (deg)</t>
  </si>
  <si>
    <t>gain_x4 all_linear left mean</t>
  </si>
  <si>
    <t>gain_x4 all_linear right mean</t>
  </si>
  <si>
    <t>Files: datasets/rf_compare/ (see GUIDE.txt)</t>
  </si>
  <si>
    <t>gain_x4 all_linear left population variance</t>
  </si>
  <si>
    <t>gain_x4 all_linear right population variance</t>
  </si>
  <si>
    <t>gain_x4 all_linear population covariance</t>
  </si>
  <si>
    <t>gain_x4 all_linear CCC denominator</t>
  </si>
  <si>
    <t>gain_x4 all mean squared linear error</t>
  </si>
  <si>
    <t>gain_x4 all pooled mean squared power</t>
  </si>
  <si>
    <t>Round to one decimal, using ties-to-even. Exact halfway examples: -1.25 and +0.25 deg.</t>
  </si>
  <si>
    <t>Output 2: frequency (GHz)</t>
  </si>
  <si>
    <t>Output 3: elevation (deg)</t>
  </si>
  <si>
    <t>Output 9: azimuth (deg)</t>
  </si>
  <si>
    <t>Decimals</t>
  </si>
  <si>
    <t>Files: datasets/round/ (see GUIDE.txt)</t>
  </si>
  <si>
    <t>Save native input, reload it, and export power and phase to CSV.</t>
  </si>
  <si>
    <t>Blue cells I8:I14 contain the Excel formulas. Click a blue cell to see its formula.</t>
  </si>
  <si>
    <t>Sample 1: Power (m²)</t>
  </si>
  <si>
    <t>Sample 5: Power (m²)</t>
  </si>
  <si>
    <t>Files: datasets/save_load_export/ (see GUIDE.txt)</t>
  </si>
  <si>
    <t>Sectors [0°, 90°) and [90°, 180°]; percentile = P90.</t>
  </si>
  <si>
    <t>Blue cells H8:H17 contain the Excel formulas. Click a blue cell to see its formula.</t>
  </si>
  <si>
    <t>Sector 1: mean (m²)</t>
  </si>
  <si>
    <t>Sector 1: median (m²)</t>
  </si>
  <si>
    <t>Sector 1: min (m²)</t>
  </si>
  <si>
    <t>Sector 1: max (m²)</t>
  </si>
  <si>
    <t>Sector 1: percentile (m²)</t>
  </si>
  <si>
    <t>Sector 2: mean (m²)</t>
  </si>
  <si>
    <t>Sector 2: median (m²)</t>
  </si>
  <si>
    <t>Sector 2: min (m²)</t>
  </si>
  <si>
    <t>Sector 2: max (m²)</t>
  </si>
  <si>
    <t>Sector 2: percentile (m²)</t>
  </si>
  <si>
    <t>Files: datasets/sector_stats/ (see GUIDE.txt)</t>
  </si>
  <si>
    <t>SENTRi El to GRIM (BETA)</t>
  </si>
  <si>
    <t>Shown 9 GHz slice. GRIM elevation = 90 - native theta; azimuth = phi modulo 360.</t>
  </si>
  <si>
    <t>Blue cells J8:J19 contain the Excel formulas. Click a blue cell to see its formula.</t>
  </si>
  <si>
    <t>Phi (deg)</t>
  </si>
  <si>
    <t>Theta (deg)</t>
  </si>
  <si>
    <t>Output 5: elevation (deg)</t>
  </si>
  <si>
    <t>Output 13: azimuth (deg)</t>
  </si>
  <si>
    <t>Output 13: elevation (deg)</t>
  </si>
  <si>
    <t>Output 13: RCS (m²)</t>
  </si>
  <si>
    <t>Files: datasets/sentri_el_grim/ (see GUIDE.txt)</t>
  </si>
  <si>
    <t>Add 15 deg azimuth, subtract 7 deg elevation, and add 30 deg phase.</t>
  </si>
  <si>
    <t>Output 1: phase (deg)</t>
  </si>
  <si>
    <t>Azimuth shift (deg)</t>
  </si>
  <si>
    <t>Output 3: phase (deg)</t>
  </si>
  <si>
    <t>Elevation shift (deg)</t>
  </si>
  <si>
    <t>Phase shift (deg)</t>
  </si>
  <si>
    <t>Files: datasets/shift/ (see GUIDE.txt)</t>
  </si>
  <si>
    <t>Reduce azimuth in linear power. This example uses 8 GHz, elevation -5°, VV. Percentile setting: 90.</t>
  </si>
  <si>
    <t>Mean</t>
  </si>
  <si>
    <t>Median</t>
  </si>
  <si>
    <t>Minimum</t>
  </si>
  <si>
    <t>Maximum</t>
  </si>
  <si>
    <t>Population standard deviation</t>
  </si>
  <si>
    <t>90th percentile</t>
  </si>
  <si>
    <t>Files: datasets/stats/ (see GUIDE.txt)</t>
  </si>
  <si>
    <t>Swap angular axes and reorder samples. Input elevation is rad; input azimuth is deg.</t>
  </si>
  <si>
    <t>Elevation (rad)</t>
  </si>
  <si>
    <t>Output 1: azimuth (rad)</t>
  </si>
  <si>
    <t>Output 3: azimuth (rad)</t>
  </si>
  <si>
    <t>Output 11: azimuth (rad)</t>
  </si>
  <si>
    <t>Output 11: elevation (deg)</t>
  </si>
  <si>
    <t>Output 11: RCS (m²)</t>
  </si>
  <si>
    <t>Files: datasets/swap_el_az/ (see GUIDE.txt)</t>
  </si>
  <si>
    <t>Time Gate (BETA)</t>
  </si>
  <si>
    <t>Keep gate -0.03 to +0.04 m; taper 0.4; compensation on; point range 0.005 m.</t>
  </si>
  <si>
    <t>Center point</t>
  </si>
  <si>
    <t>1 GHz: Field I (m)</t>
  </si>
  <si>
    <t>1 GHz: Field Q (m)</t>
  </si>
  <si>
    <t>2 GHz: Field I (m)</t>
  </si>
  <si>
    <t>2 GHz: Field Q (m)</t>
  </si>
  <si>
    <t>3 GHz: Field I (m)</t>
  </si>
  <si>
    <t>3 GHz: Field Q (m)</t>
  </si>
  <si>
    <t>4 GHz: Field I (m)</t>
  </si>
  <si>
    <t>4 GHz: Field Q (m)</t>
  </si>
  <si>
    <t>start (m)</t>
  </si>
  <si>
    <t>stop (m)</t>
  </si>
  <si>
    <t>Gate center (m)</t>
  </si>
  <si>
    <t>Files: datasets/time_gate/ (see GUIDE.txt)</t>
  </si>
  <si>
    <t>Phase at 1 GHz (rad)</t>
  </si>
  <si>
    <t>Phase at 2 GHz (rad)</t>
  </si>
  <si>
    <t>Phase at 3 GHz (rad)</t>
  </si>
  <si>
    <t>Phase at 4 GHz (rad)</t>
  </si>
  <si>
    <t>Mean over the two elevations; display azimuth × frequency in dBsm.</t>
  </si>
  <si>
    <t>Blue cells H8:H13 contain the Excel formulas. Click a blue cell to see its formula.</t>
  </si>
  <si>
    <t>Az 0°, 8 GHz (dBsm)</t>
  </si>
  <si>
    <t>Az 0°, 9 GHz (dBsm)</t>
  </si>
  <si>
    <t>Az 0°, 10 GHz (dBsm)</t>
  </si>
  <si>
    <t>Az 90°, 8 GHz (dBsm)</t>
  </si>
  <si>
    <t>Az 90°, 9 GHz (dBsm)</t>
  </si>
  <si>
    <t>Az 90°, 10 GHz (dBsm)</t>
  </si>
  <si>
    <t>Files: datasets/waterfall/ (see GUIDE.txt)</t>
  </si>
  <si>
    <t>Wedge Conic (BETA)</t>
  </si>
  <si>
    <t>Waterline elevation 0 deg; 10 GHz; HH polarization.</t>
  </si>
  <si>
    <t>Waterline</t>
  </si>
  <si>
    <t>Output row 1: azimuth (deg)</t>
  </si>
  <si>
    <t>Output row 1: RCS (m2)</t>
  </si>
  <si>
    <t>Output row 2: azimuth (deg)</t>
  </si>
  <si>
    <t>Output row 2: RCS (m2)</t>
  </si>
  <si>
    <t>Output row 3: azimuth (deg)</t>
  </si>
  <si>
    <t>Output row 3: RCS (m2)</t>
  </si>
  <si>
    <t>Output row 4: azimuth (deg)</t>
  </si>
  <si>
    <t>Files: datasets/wedge_conic/ (see GUIDE.txt)</t>
  </si>
  <si>
    <t>Wrap azimuth to 0..360 and phase to -180..180. At the repeated seam, keep the -180 deg input.</t>
  </si>
  <si>
    <t>Output 2: phase (deg)</t>
  </si>
  <si>
    <t>Files: datasets/wrap/ (see GUIDE.txt)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</si>
</sst>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%"/>
    <numFmt numFmtId="166" formatCode="0.0000E+00"/>
  </numFmts>
  <fonts count="6">
    <font>
      <sz val="11"/>
      <name val="Carlito"/>
    </font>
    <font>
      <sz val="11"/>
      <color rgb="FF18334A"/>
      <name val="Arial"/>
    </font>
    <font>
      <b/>
      <sz val="18"/>
      <color rgb="FF18334A"/>
      <name val="Arial"/>
    </font>
    <font>
      <sz val="10"/>
      <color rgb="FF586777"/>
      <name val="Arial"/>
    </font>
    <font>
      <b/>
      <sz val="11"/>
      <color rgb="FF18334A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54C73"/>
      </patternFill>
    </fill>
    <fill>
      <patternFill patternType="solid">
        <fgColor rgb="FFFFF5DC"/>
      </patternFill>
    </fill>
    <fill>
      <patternFill patternType="solid">
        <fgColor rgb="FFE5F0FC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right" vertical="center"/>
    </xf>
    <xf numFmtId="164" fontId="1" fillId="4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 vertical="center"/>
    </xf>
    <xf numFmtId="164" fontId="1" fillId="3" borderId="2" xfId="0" applyNumberFormat="1" applyFont="1" applyFill="1" applyBorder="1" applyAlignment="1">
      <alignment horizontal="right" vertical="center"/>
    </xf>
    <xf numFmtId="166" fontId="1" fillId="4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3" borderId="2" xfId="0" applyNumberFormat="1" applyFont="1" applyFill="1" applyBorder="1" applyAlignment="1">
      <alignment horizontal="right" vertical="center"/>
    </xf>
    <xf numFmtId="164" fontId="1" fillId="3" borderId="3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164" fontId="1" fillId="4" borderId="3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4" borderId="2" xfId="0" applyNumberFormat="1" applyFont="1" applyFill="1" applyBorder="1" applyAlignment="1">
      <alignment horizontal="right" vertical="center"/>
    </xf>
    <xf numFmtId="0" fontId="2" fillId="0" borderId="0" xfId="0" applyFont="1"/>
    <xf numFmtId="1" fontId="1" fillId="0" borderId="0" xfId="0" applyNumberFormat="1" applyFont="1"/>
    <xf numFmtId="166" fontId="1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28" customWidth="1"/>
    <col min="2" max="2" width="38" customWidth="1"/>
    <col min="3" max="3" width="20" customWidth="1"/>
    <col min="4" max="4" width="48" customWidth="1"/>
  </cols>
  <sheetData>
    <row r="1" spans="1:4" ht="35" customHeight="1">
      <c r="A1" s="25" t="s">
        <v>0</v>
      </c>
      <c r="B1" s="1"/>
      <c r="C1" s="1"/>
      <c r="D1" s="1"/>
    </row>
    <row r="2" spans="1:4" ht="25.05" customHeight="1">
      <c r="A2" s="1"/>
      <c r="B2" s="1"/>
      <c r="C2" s="1"/>
      <c r="D2" s="1"/>
    </row>
    <row r="3" spans="1:4" ht="25.05" customHeight="1">
      <c r="A3" s="1" t="s">
        <v>1</v>
      </c>
      <c r="B3" s="1"/>
      <c r="C3" s="1"/>
      <c r="D3" s="1"/>
    </row>
    <row r="4" spans="1:4" ht="25.05" customHeight="1">
      <c r="A4" s="1" t="s">
        <v>2</v>
      </c>
      <c r="B4" s="1"/>
      <c r="C4" s="1"/>
      <c r="D4" s="1"/>
    </row>
    <row r="5" spans="1:4" ht="25.05" customHeight="1">
      <c r="A5" s="1" t="s">
        <v>3</v>
      </c>
      <c r="B5" s="1"/>
      <c r="C5" s="1"/>
      <c r="D5" s="1"/>
    </row>
    <row r="6" spans="1:4" ht="25.05" customHeight="1">
      <c r="A6" s="1"/>
      <c r="B6" s="1"/>
      <c r="C6" s="1"/>
      <c r="D6" s="1"/>
    </row>
    <row r="7" spans="1:4" ht="42" customHeight="1">
      <c r="A7" s="6" t="s">
        <v>4</v>
      </c>
      <c r="B7" s="6" t="s">
        <v>5</v>
      </c>
      <c r="C7" s="6" t="s">
        <v>6</v>
      </c>
      <c r="D7" s="1"/>
    </row>
    <row r="8" spans="1:4" ht="25.05" customHeight="1">
      <c r="A8" s="1" t="s">
        <v>7</v>
      </c>
      <c r="B8" s="1" t="s">
        <v>8</v>
      </c>
      <c r="C8" s="26">
        <v>4</v>
      </c>
      <c r="D8" s="1"/>
    </row>
    <row r="9" spans="1:4" ht="25.05" customHeight="1">
      <c r="A9" s="1" t="s">
        <v>9</v>
      </c>
      <c r="B9" s="1" t="s">
        <v>10</v>
      </c>
      <c r="C9" s="26">
        <v>8</v>
      </c>
      <c r="D9" s="1"/>
    </row>
    <row r="10" spans="1:4" ht="25.05" customHeight="1">
      <c r="A10" s="1" t="s">
        <v>11</v>
      </c>
      <c r="B10" s="1" t="s">
        <v>12</v>
      </c>
      <c r="C10" s="26">
        <v>6</v>
      </c>
      <c r="D10" s="1"/>
    </row>
    <row r="11" spans="1:4" ht="25.05" customHeight="1">
      <c r="A11" s="1" t="s">
        <v>13</v>
      </c>
      <c r="B11" s="1" t="s">
        <v>14</v>
      </c>
      <c r="C11" s="26">
        <v>12</v>
      </c>
      <c r="D11" s="1"/>
    </row>
    <row r="12" spans="1:4" ht="25.05" customHeight="1">
      <c r="A12" s="1" t="s">
        <v>15</v>
      </c>
      <c r="B12" s="1" t="s">
        <v>16</v>
      </c>
      <c r="C12" s="26">
        <v>6</v>
      </c>
      <c r="D12" s="1"/>
    </row>
    <row r="13" spans="1:4" ht="25.05" customHeight="1">
      <c r="A13" s="1" t="s">
        <v>17</v>
      </c>
      <c r="B13" s="1" t="s">
        <v>18</v>
      </c>
      <c r="C13" s="26">
        <v>8</v>
      </c>
      <c r="D13" s="1"/>
    </row>
    <row r="14" spans="1:4" ht="25.05" customHeight="1">
      <c r="A14" s="1" t="s">
        <v>19</v>
      </c>
      <c r="B14" s="1" t="s">
        <v>20</v>
      </c>
      <c r="C14" s="26">
        <v>9</v>
      </c>
      <c r="D14" s="1"/>
    </row>
    <row r="15" spans="1:4" ht="25.05" customHeight="1">
      <c r="A15" s="1" t="s">
        <v>21</v>
      </c>
      <c r="B15" s="1" t="s">
        <v>22</v>
      </c>
      <c r="C15" s="26">
        <v>9</v>
      </c>
      <c r="D15" s="1"/>
    </row>
    <row r="16" spans="1:4" ht="25.05" customHeight="1">
      <c r="A16" s="1" t="s">
        <v>23</v>
      </c>
      <c r="B16" s="1" t="s">
        <v>24</v>
      </c>
      <c r="C16" s="26">
        <v>9</v>
      </c>
      <c r="D16" s="1"/>
    </row>
    <row r="17" spans="1:4" ht="25.05" customHeight="1">
      <c r="A17" s="1" t="s">
        <v>25</v>
      </c>
      <c r="B17" s="1" t="s">
        <v>26</v>
      </c>
      <c r="C17" s="26">
        <v>6</v>
      </c>
      <c r="D17" s="1"/>
    </row>
    <row r="18" spans="1:4" ht="25.05" customHeight="1">
      <c r="A18" s="1" t="s">
        <v>27</v>
      </c>
      <c r="B18" s="1" t="s">
        <v>28</v>
      </c>
      <c r="C18" s="26">
        <v>12</v>
      </c>
      <c r="D18" s="1"/>
    </row>
    <row r="19" spans="1:4" ht="25.05" customHeight="1">
      <c r="A19" s="1" t="s">
        <v>29</v>
      </c>
      <c r="B19" s="1" t="s">
        <v>30</v>
      </c>
      <c r="C19" s="26">
        <v>9</v>
      </c>
      <c r="D19" s="1"/>
    </row>
    <row r="20" spans="1:4" ht="25.05" customHeight="1">
      <c r="A20" s="1" t="s">
        <v>31</v>
      </c>
      <c r="B20" s="1" t="s">
        <v>32</v>
      </c>
      <c r="C20" s="26">
        <v>8</v>
      </c>
      <c r="D20" s="1"/>
    </row>
    <row r="21" spans="1:4" ht="25.05" customHeight="1">
      <c r="A21" s="1" t="s">
        <v>33</v>
      </c>
      <c r="B21" s="1" t="s">
        <v>34</v>
      </c>
      <c r="C21" s="26">
        <v>6</v>
      </c>
      <c r="D21" s="1"/>
    </row>
    <row r="22" spans="1:4" ht="25.05" customHeight="1">
      <c r="A22" s="1" t="s">
        <v>35</v>
      </c>
      <c r="B22" s="1" t="s">
        <v>36</v>
      </c>
      <c r="C22" s="26">
        <v>10</v>
      </c>
      <c r="D22" s="1"/>
    </row>
    <row r="23" spans="1:4" ht="25.05" customHeight="1">
      <c r="A23" s="1" t="s">
        <v>37</v>
      </c>
      <c r="B23" s="1" t="s">
        <v>38</v>
      </c>
      <c r="C23" s="26">
        <v>9</v>
      </c>
      <c r="D23" s="1"/>
    </row>
    <row r="24" spans="1:4" ht="25.05" customHeight="1">
      <c r="A24" s="1" t="s">
        <v>39</v>
      </c>
      <c r="B24" s="1" t="s">
        <v>40</v>
      </c>
      <c r="C24" s="26">
        <v>8</v>
      </c>
      <c r="D24" s="1"/>
    </row>
    <row r="25" spans="1:4" ht="25.05" customHeight="1">
      <c r="A25" s="1" t="s">
        <v>41</v>
      </c>
      <c r="B25" s="1" t="s">
        <v>42</v>
      </c>
      <c r="C25" s="26">
        <v>9</v>
      </c>
      <c r="D25" s="1"/>
    </row>
    <row r="26" spans="1:4" ht="25.05" customHeight="1">
      <c r="A26" s="1" t="s">
        <v>43</v>
      </c>
      <c r="B26" s="1" t="s">
        <v>44</v>
      </c>
      <c r="C26" s="26">
        <v>7</v>
      </c>
      <c r="D26" s="1"/>
    </row>
    <row r="27" spans="1:4" ht="25.05" customHeight="1">
      <c r="A27" s="1" t="s">
        <v>45</v>
      </c>
      <c r="B27" s="1" t="s">
        <v>46</v>
      </c>
      <c r="C27" s="26">
        <v>6</v>
      </c>
      <c r="D27" s="1"/>
    </row>
    <row r="28" spans="1:4" ht="25.05" customHeight="1">
      <c r="A28" s="1" t="s">
        <v>47</v>
      </c>
      <c r="B28" s="1" t="s">
        <v>48</v>
      </c>
      <c r="C28" s="26">
        <v>6</v>
      </c>
      <c r="D28" s="1"/>
    </row>
    <row r="29" spans="1:4" ht="25.05" customHeight="1">
      <c r="A29" s="1" t="s">
        <v>49</v>
      </c>
      <c r="B29" s="1" t="s">
        <v>50</v>
      </c>
      <c r="C29" s="26">
        <v>8</v>
      </c>
      <c r="D29" s="1"/>
    </row>
    <row r="30" spans="1:4" ht="25.05" customHeight="1">
      <c r="A30" s="1" t="s">
        <v>51</v>
      </c>
      <c r="B30" s="1" t="s">
        <v>52</v>
      </c>
      <c r="C30" s="26">
        <v>8</v>
      </c>
      <c r="D30" s="1"/>
    </row>
    <row r="31" spans="1:4" ht="25.05" customHeight="1">
      <c r="A31" s="1" t="s">
        <v>53</v>
      </c>
      <c r="B31" s="1" t="s">
        <v>54</v>
      </c>
      <c r="C31" s="26">
        <v>9</v>
      </c>
      <c r="D31" s="1"/>
    </row>
    <row r="32" spans="1:4" ht="25.05" customHeight="1">
      <c r="A32" s="1" t="s">
        <v>55</v>
      </c>
      <c r="B32" s="1" t="s">
        <v>56</v>
      </c>
      <c r="C32" s="26">
        <v>6</v>
      </c>
      <c r="D32" s="1"/>
    </row>
    <row r="33" spans="1:4" ht="25.05" customHeight="1">
      <c r="A33" s="1" t="s">
        <v>57</v>
      </c>
      <c r="B33" s="1" t="s">
        <v>58</v>
      </c>
      <c r="C33" s="26">
        <v>9</v>
      </c>
      <c r="D33" s="1"/>
    </row>
    <row r="34" spans="1:4" ht="25.05" customHeight="1">
      <c r="A34" s="1" t="s">
        <v>59</v>
      </c>
      <c r="B34" s="1" t="s">
        <v>60</v>
      </c>
      <c r="C34" s="26">
        <v>8</v>
      </c>
      <c r="D34" s="1"/>
    </row>
    <row r="35" spans="1:4" ht="25.05" customHeight="1">
      <c r="A35" s="1" t="s">
        <v>61</v>
      </c>
      <c r="B35" s="1" t="s">
        <v>62</v>
      </c>
      <c r="C35" s="26">
        <v>12</v>
      </c>
      <c r="D35" s="1"/>
    </row>
    <row r="36" spans="1:4" ht="25.05" customHeight="1">
      <c r="A36" s="1" t="s">
        <v>63</v>
      </c>
      <c r="B36" s="1" t="s">
        <v>64</v>
      </c>
      <c r="C36" s="26">
        <v>2</v>
      </c>
      <c r="D36" s="1"/>
    </row>
    <row r="37" spans="1:4" ht="25.05" customHeight="1">
      <c r="A37" s="1" t="s">
        <v>65</v>
      </c>
      <c r="B37" s="1" t="s">
        <v>66</v>
      </c>
      <c r="C37" s="26">
        <v>6</v>
      </c>
      <c r="D37" s="1"/>
    </row>
    <row r="38" spans="1:4" ht="25.05" customHeight="1">
      <c r="A38" s="1" t="s">
        <v>67</v>
      </c>
      <c r="B38" s="1" t="s">
        <v>68</v>
      </c>
      <c r="C38" s="26">
        <v>6</v>
      </c>
      <c r="D38" s="1"/>
    </row>
    <row r="39" spans="1:4" ht="25.05" customHeight="1">
      <c r="A39" s="1" t="s">
        <v>69</v>
      </c>
      <c r="B39" s="1" t="s">
        <v>70</v>
      </c>
      <c r="C39" s="26">
        <v>4</v>
      </c>
      <c r="D39" s="1"/>
    </row>
    <row r="40" spans="1:4" ht="25.05" customHeight="1">
      <c r="A40" s="1" t="s">
        <v>71</v>
      </c>
      <c r="B40" s="1" t="s">
        <v>72</v>
      </c>
      <c r="C40" s="26">
        <v>6</v>
      </c>
      <c r="D40" s="1"/>
    </row>
    <row r="41" spans="1:4" ht="25.05" customHeight="1">
      <c r="A41" s="1" t="s">
        <v>73</v>
      </c>
      <c r="B41" s="1" t="s">
        <v>74</v>
      </c>
      <c r="C41" s="26">
        <v>5</v>
      </c>
      <c r="D41" s="1"/>
    </row>
    <row r="42" spans="1:4" ht="25.05" customHeight="1">
      <c r="A42" s="1" t="s">
        <v>75</v>
      </c>
      <c r="B42" s="1" t="s">
        <v>76</v>
      </c>
      <c r="C42" s="26">
        <v>6</v>
      </c>
      <c r="D42" s="1"/>
    </row>
    <row r="43" spans="1:4" ht="25.05" customHeight="1">
      <c r="A43" s="1" t="s">
        <v>77</v>
      </c>
      <c r="B43" s="1" t="s">
        <v>78</v>
      </c>
      <c r="C43" s="26">
        <v>8</v>
      </c>
      <c r="D43" s="1"/>
    </row>
    <row r="44" spans="1:4" ht="25.05" customHeight="1">
      <c r="A44" s="1" t="s">
        <v>79</v>
      </c>
      <c r="B44" s="1" t="s">
        <v>80</v>
      </c>
      <c r="C44" s="26">
        <v>7</v>
      </c>
      <c r="D44" s="1"/>
    </row>
    <row r="45" spans="1:4" ht="25.05" customHeight="1">
      <c r="A45" s="1" t="s">
        <v>81</v>
      </c>
      <c r="B45" s="1" t="s">
        <v>82</v>
      </c>
      <c r="C45" s="26">
        <v>10</v>
      </c>
      <c r="D45" s="1"/>
    </row>
    <row r="46" spans="1:4" ht="25.05" customHeight="1">
      <c r="A46" s="1" t="s">
        <v>83</v>
      </c>
      <c r="B46" s="1" t="s">
        <v>84</v>
      </c>
      <c r="C46" s="26">
        <v>12</v>
      </c>
      <c r="D46" s="1"/>
    </row>
    <row r="47" spans="1:4" ht="25.05" customHeight="1">
      <c r="A47" s="1" t="s">
        <v>85</v>
      </c>
      <c r="B47" s="1" t="s">
        <v>86</v>
      </c>
      <c r="C47" s="26">
        <v>8</v>
      </c>
      <c r="D47" s="1"/>
    </row>
    <row r="48" spans="1:4" ht="25.05" customHeight="1">
      <c r="A48" s="1" t="s">
        <v>87</v>
      </c>
      <c r="B48" s="1" t="s">
        <v>88</v>
      </c>
      <c r="C48" s="26">
        <v>6</v>
      </c>
      <c r="D48" s="1"/>
    </row>
    <row r="49" spans="1:4" ht="25.05" customHeight="1">
      <c r="A49" s="1" t="s">
        <v>89</v>
      </c>
      <c r="B49" s="1" t="s">
        <v>90</v>
      </c>
      <c r="C49" s="26">
        <v>9</v>
      </c>
      <c r="D49" s="1"/>
    </row>
    <row r="50" spans="1:4" ht="25.05" customHeight="1">
      <c r="A50" s="1" t="s">
        <v>91</v>
      </c>
      <c r="B50" s="1" t="s">
        <v>92</v>
      </c>
      <c r="C50" s="26">
        <v>8</v>
      </c>
      <c r="D50" s="1"/>
    </row>
    <row r="51" spans="1:4" ht="25.05" customHeight="1">
      <c r="A51" s="1" t="s">
        <v>93</v>
      </c>
      <c r="B51" s="1" t="s">
        <v>94</v>
      </c>
      <c r="C51" s="26">
        <v>6</v>
      </c>
      <c r="D51" s="1"/>
    </row>
    <row r="52" spans="1:4" ht="25.05" customHeight="1">
      <c r="A52" s="1" t="s">
        <v>95</v>
      </c>
      <c r="B52" s="1" t="s">
        <v>96</v>
      </c>
      <c r="C52" s="26">
        <v>7</v>
      </c>
      <c r="D52" s="1"/>
    </row>
    <row r="53" spans="1:4" ht="25.05" customHeight="1">
      <c r="A53" s="1" t="s">
        <v>97</v>
      </c>
      <c r="B53" s="1" t="s">
        <v>98</v>
      </c>
      <c r="C53" s="26">
        <v>10</v>
      </c>
      <c r="D53" s="1"/>
    </row>
    <row r="54" spans="1:4" ht="25.05" customHeight="1">
      <c r="A54" s="1"/>
      <c r="B54" s="1"/>
      <c r="C54" s="1"/>
      <c r="D54" s="1"/>
    </row>
    <row r="55" spans="1:4" ht="25.05" customHeight="1">
      <c r="A55" s="1"/>
      <c r="B55" s="1"/>
      <c r="C55" s="1"/>
      <c r="D55" s="1"/>
    </row>
    <row r="56" spans="1:4" ht="25.05" customHeight="1">
      <c r="A56" s="1"/>
      <c r="B56" s="1"/>
      <c r="C56" s="1"/>
      <c r="D56" s="1"/>
    </row>
    <row r="57" spans="1:4" ht="25.05" customHeight="1">
      <c r="A57" s="1"/>
      <c r="B57" s="1"/>
      <c r="C57" s="1"/>
      <c r="D57" s="1"/>
    </row>
    <row r="58" spans="1:4" ht="25.05" customHeight="1">
      <c r="A58" s="1"/>
      <c r="B58" s="1"/>
      <c r="C58" s="1"/>
      <c r="D58" s="1"/>
    </row>
    <row r="59" spans="1:4" ht="25.05" customHeight="1">
      <c r="A59" s="1"/>
      <c r="B59" s="1"/>
      <c r="C59" s="1"/>
      <c r="D59" s="1"/>
    </row>
    <row r="60" spans="1:4" ht="25.05" customHeight="1">
      <c r="A60" s="1"/>
      <c r="B60" s="1"/>
      <c r="C60" s="1"/>
      <c r="D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99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100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114</v>
      </c>
      <c r="B8" s="13">
        <v>10</v>
      </c>
      <c r="C8" s="13">
        <v>0</v>
      </c>
      <c r="D8" s="13">
        <v>10</v>
      </c>
      <c r="E8" s="14" t="s">
        <v>115</v>
      </c>
      <c r="F8" s="13">
        <v>1</v>
      </c>
      <c r="G8" s="15">
        <v>-150</v>
      </c>
      <c r="H8" s="2"/>
      <c r="I8" s="8" t="s">
        <v>116</v>
      </c>
      <c r="J8" s="10">
        <f>$B$8</f>
        <v>10</v>
      </c>
      <c r="K8" s="11">
        <v>10</v>
      </c>
      <c r="L8" s="9">
        <f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114</v>
      </c>
      <c r="B9" s="13">
        <v>20</v>
      </c>
      <c r="C9" s="13">
        <v>0</v>
      </c>
      <c r="D9" s="13">
        <v>10</v>
      </c>
      <c r="E9" s="14" t="s">
        <v>115</v>
      </c>
      <c r="F9" s="13">
        <v>2</v>
      </c>
      <c r="G9" s="15">
        <v>-137</v>
      </c>
      <c r="H9" s="2"/>
      <c r="I9" s="8" t="s">
        <v>117</v>
      </c>
      <c r="J9" s="10">
        <f>$F$12</f>
        <v>8</v>
      </c>
      <c r="K9" s="11">
        <v>8</v>
      </c>
      <c r="L9" s="9">
        <f>IF(AND(ISNUMBER(J9),ISNUMBER(K9)),IF(SIGN(J9)=0,"n/a (zero)",ABS(K9-J9)/ABS(J9)),IF(ISBLANK(K9),"missing export",IF(ISBLANK(J9),"missing input","n/a")))</f>
        <v>0</v>
      </c>
    </row>
    <row r="10" spans="1:12" ht="32" customHeight="1">
      <c r="A10" s="12" t="s">
        <v>114</v>
      </c>
      <c r="B10" s="13">
        <v>30</v>
      </c>
      <c r="C10" s="13">
        <v>0</v>
      </c>
      <c r="D10" s="13">
        <v>10</v>
      </c>
      <c r="E10" s="14" t="s">
        <v>115</v>
      </c>
      <c r="F10" s="13">
        <v>3</v>
      </c>
      <c r="G10" s="15">
        <v>-124</v>
      </c>
      <c r="H10" s="2"/>
      <c r="I10" s="8" t="s">
        <v>118</v>
      </c>
      <c r="J10" s="10">
        <f>$B$9</f>
        <v>20</v>
      </c>
      <c r="K10" s="11">
        <v>20</v>
      </c>
      <c r="L10" s="9">
        <f>IF(AND(ISNUMBER(J10),ISNUMBER(K10)),IF(SIGN(J10)=0,"n/a (zero)",ABS(K10-J10)/ABS(J10)),IF(ISBLANK(K10),"missing export",IF(ISBLANK(J10),"missing input","n/a")))</f>
        <v>0</v>
      </c>
    </row>
    <row r="11" spans="1:12" ht="32" customHeight="1">
      <c r="A11" s="12" t="s">
        <v>119</v>
      </c>
      <c r="B11" s="13">
        <v>0</v>
      </c>
      <c r="C11" s="13">
        <v>0</v>
      </c>
      <c r="D11" s="13">
        <v>10</v>
      </c>
      <c r="E11" s="14" t="s">
        <v>115</v>
      </c>
      <c r="F11" s="13">
        <v>7</v>
      </c>
      <c r="G11" s="15">
        <v>20</v>
      </c>
      <c r="H11" s="2"/>
      <c r="I11" s="8" t="s">
        <v>120</v>
      </c>
      <c r="J11" s="10">
        <f>$F$13</f>
        <v>0</v>
      </c>
      <c r="K11" s="11">
        <v>0</v>
      </c>
      <c r="L11" s="9" t="str">
        <f>IF(AND(ISNUMBER(J11),ISNUMBER(K11)),IF(SIGN(J11)=0,"n/a (zero)",ABS(K11-J11)/ABS(J11)),IF(ISBLANK(K11),"missing export",IF(ISBLANK(J11),"missing input","n/a")))</f>
        <v>n/a (zero)</v>
      </c>
    </row>
    <row r="12" spans="1:12" ht="27" customHeight="1">
      <c r="A12" s="12" t="s">
        <v>119</v>
      </c>
      <c r="B12" s="16">
        <v>10.000000200000001</v>
      </c>
      <c r="C12" s="13">
        <v>0</v>
      </c>
      <c r="D12" s="13">
        <v>10</v>
      </c>
      <c r="E12" s="14" t="s">
        <v>115</v>
      </c>
      <c r="F12" s="13">
        <v>8</v>
      </c>
      <c r="G12" s="15">
        <v>30</v>
      </c>
      <c r="H12" s="2"/>
      <c r="I12" s="2"/>
      <c r="J12" s="2"/>
      <c r="K12" s="2"/>
      <c r="L12" s="2"/>
    </row>
    <row r="13" spans="1:12" ht="27" customHeight="1">
      <c r="A13" s="12" t="s">
        <v>119</v>
      </c>
      <c r="B13" s="16">
        <v>20.000000199999999</v>
      </c>
      <c r="C13" s="13">
        <v>0</v>
      </c>
      <c r="D13" s="13">
        <v>10</v>
      </c>
      <c r="E13" s="14" t="s">
        <v>115</v>
      </c>
      <c r="F13" s="13">
        <v>0</v>
      </c>
      <c r="G13" s="15">
        <v>40</v>
      </c>
      <c r="H13" s="2"/>
      <c r="I13" s="2"/>
      <c r="J13" s="2"/>
      <c r="K13" s="2"/>
      <c r="L13" s="2"/>
    </row>
    <row r="14" spans="1:12" ht="27" customHeight="1">
      <c r="A14" s="12" t="s">
        <v>119</v>
      </c>
      <c r="B14" s="13">
        <v>40</v>
      </c>
      <c r="C14" s="13">
        <v>0</v>
      </c>
      <c r="D14" s="13">
        <v>10</v>
      </c>
      <c r="E14" s="14" t="s">
        <v>115</v>
      </c>
      <c r="F14" s="13">
        <v>11</v>
      </c>
      <c r="G14" s="15">
        <v>50</v>
      </c>
      <c r="H14" s="2"/>
      <c r="I14" s="2"/>
      <c r="J14" s="2"/>
      <c r="K14" s="2"/>
      <c r="L14" s="2"/>
    </row>
    <row r="15" spans="1:12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 t="s">
        <v>121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4" t="s">
        <v>122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123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3">
        <v>0</v>
      </c>
      <c r="C8" s="13">
        <v>-30</v>
      </c>
      <c r="D8" s="13">
        <v>8</v>
      </c>
      <c r="E8" s="14" t="s">
        <v>115</v>
      </c>
      <c r="F8" s="13">
        <v>1</v>
      </c>
      <c r="G8" s="15">
        <v>-150</v>
      </c>
      <c r="H8" s="2"/>
      <c r="I8" s="8" t="s">
        <v>125</v>
      </c>
      <c r="J8" s="10">
        <f>RADIANS($C$8)</f>
        <v>-0.52359877559829882</v>
      </c>
      <c r="K8" s="11">
        <v>-0.52359877559829882</v>
      </c>
      <c r="L8" s="9">
        <f t="shared" ref="L8:L15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119</v>
      </c>
      <c r="B9" s="13">
        <v>0</v>
      </c>
      <c r="C9" s="13">
        <v>-30</v>
      </c>
      <c r="D9" s="13">
        <v>12</v>
      </c>
      <c r="E9" s="14" t="s">
        <v>115</v>
      </c>
      <c r="F9" s="13">
        <v>2</v>
      </c>
      <c r="G9" s="15">
        <v>-137</v>
      </c>
      <c r="H9" s="2"/>
      <c r="I9" s="8" t="s">
        <v>126</v>
      </c>
      <c r="J9" s="17">
        <f>$D$8*10^9</f>
        <v>8000000000</v>
      </c>
      <c r="K9" s="18">
        <v>8000000000</v>
      </c>
      <c r="L9" s="9">
        <f t="shared" si="0"/>
        <v>0</v>
      </c>
    </row>
    <row r="10" spans="1:12" ht="32" customHeight="1">
      <c r="A10" s="12" t="s">
        <v>119</v>
      </c>
      <c r="B10" s="13">
        <v>0</v>
      </c>
      <c r="C10" s="13">
        <v>30</v>
      </c>
      <c r="D10" s="13">
        <v>8</v>
      </c>
      <c r="E10" s="14" t="s">
        <v>115</v>
      </c>
      <c r="F10" s="13">
        <v>3</v>
      </c>
      <c r="G10" s="15">
        <v>-124</v>
      </c>
      <c r="H10" s="2"/>
      <c r="I10" s="8" t="s">
        <v>127</v>
      </c>
      <c r="J10" s="10">
        <f>RADIANS($B$12)</f>
        <v>1.5707963267948966</v>
      </c>
      <c r="K10" s="11">
        <v>1.5707963267948966</v>
      </c>
      <c r="L10" s="9">
        <f t="shared" si="0"/>
        <v>0</v>
      </c>
    </row>
    <row r="11" spans="1:12" ht="32" customHeight="1">
      <c r="A11" s="12" t="s">
        <v>119</v>
      </c>
      <c r="B11" s="13">
        <v>0</v>
      </c>
      <c r="C11" s="13">
        <v>30</v>
      </c>
      <c r="D11" s="13">
        <v>12</v>
      </c>
      <c r="E11" s="14" t="s">
        <v>115</v>
      </c>
      <c r="F11" s="13">
        <v>4</v>
      </c>
      <c r="G11" s="15">
        <v>-111</v>
      </c>
      <c r="H11" s="2"/>
      <c r="I11" s="8" t="s">
        <v>128</v>
      </c>
      <c r="J11" s="10">
        <f>$F$12</f>
        <v>5</v>
      </c>
      <c r="K11" s="11">
        <v>5.0000000000000009</v>
      </c>
      <c r="L11" s="9">
        <f t="shared" si="0"/>
        <v>1.7763568394002506E-16</v>
      </c>
    </row>
    <row r="12" spans="1:12" ht="32" customHeight="1">
      <c r="A12" s="12" t="s">
        <v>119</v>
      </c>
      <c r="B12" s="13">
        <v>90</v>
      </c>
      <c r="C12" s="13">
        <v>-30</v>
      </c>
      <c r="D12" s="13">
        <v>8</v>
      </c>
      <c r="E12" s="14" t="s">
        <v>115</v>
      </c>
      <c r="F12" s="13">
        <v>5</v>
      </c>
      <c r="G12" s="15">
        <v>-98</v>
      </c>
      <c r="H12" s="2"/>
      <c r="I12" s="8" t="s">
        <v>129</v>
      </c>
      <c r="J12" s="10">
        <f>RADIANS($C$15)</f>
        <v>0.52359877559829882</v>
      </c>
      <c r="K12" s="11">
        <v>0.52359877559829882</v>
      </c>
      <c r="L12" s="9">
        <f t="shared" si="0"/>
        <v>0</v>
      </c>
    </row>
    <row r="13" spans="1:12" ht="32" customHeight="1">
      <c r="A13" s="12" t="s">
        <v>119</v>
      </c>
      <c r="B13" s="13">
        <v>90</v>
      </c>
      <c r="C13" s="13">
        <v>-30</v>
      </c>
      <c r="D13" s="13">
        <v>12</v>
      </c>
      <c r="E13" s="14" t="s">
        <v>115</v>
      </c>
      <c r="F13" s="13">
        <v>6</v>
      </c>
      <c r="G13" s="15">
        <v>-85</v>
      </c>
      <c r="H13" s="2"/>
      <c r="I13" s="8" t="s">
        <v>130</v>
      </c>
      <c r="J13" s="17">
        <f>$D$15*10^9</f>
        <v>12000000000</v>
      </c>
      <c r="K13" s="18">
        <v>12000000000</v>
      </c>
      <c r="L13" s="9">
        <f t="shared" si="0"/>
        <v>0</v>
      </c>
    </row>
    <row r="14" spans="1:12" ht="32" customHeight="1">
      <c r="A14" s="12" t="s">
        <v>119</v>
      </c>
      <c r="B14" s="13">
        <v>90</v>
      </c>
      <c r="C14" s="13">
        <v>30</v>
      </c>
      <c r="D14" s="13">
        <v>8</v>
      </c>
      <c r="E14" s="14" t="s">
        <v>115</v>
      </c>
      <c r="F14" s="13">
        <v>7</v>
      </c>
      <c r="G14" s="15">
        <v>-72</v>
      </c>
      <c r="H14" s="2"/>
      <c r="I14" s="8" t="s">
        <v>131</v>
      </c>
      <c r="J14" s="10">
        <f>$C$15</f>
        <v>30</v>
      </c>
      <c r="K14" s="11">
        <v>29.999999999999996</v>
      </c>
      <c r="L14" s="9">
        <f t="shared" si="0"/>
        <v>1.1842378929335003E-16</v>
      </c>
    </row>
    <row r="15" spans="1:12" ht="32" customHeight="1">
      <c r="A15" s="12" t="s">
        <v>119</v>
      </c>
      <c r="B15" s="13">
        <v>90</v>
      </c>
      <c r="C15" s="13">
        <v>30</v>
      </c>
      <c r="D15" s="13">
        <v>12</v>
      </c>
      <c r="E15" s="14" t="s">
        <v>115</v>
      </c>
      <c r="F15" s="13">
        <v>8</v>
      </c>
      <c r="G15" s="15">
        <v>-59</v>
      </c>
      <c r="H15" s="2"/>
      <c r="I15" s="8" t="s">
        <v>132</v>
      </c>
      <c r="J15" s="10">
        <f>$D$15</f>
        <v>12</v>
      </c>
      <c r="K15" s="11">
        <v>12</v>
      </c>
      <c r="L15" s="9">
        <f t="shared" si="0"/>
        <v>0</v>
      </c>
    </row>
    <row r="16" spans="1:12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 t="s">
        <v>133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4" t="s">
        <v>122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3" width="11" customWidth="1"/>
    <col min="4" max="4" width="12" customWidth="1"/>
    <col min="5" max="5" width="7" customWidth="1"/>
    <col min="6" max="7" width="14" customWidth="1"/>
    <col min="8" max="8" width="11" customWidth="1"/>
    <col min="9" max="9" width="3" customWidth="1"/>
    <col min="10" max="10" width="31" customWidth="1"/>
    <col min="11" max="12" width="17" customWidth="1"/>
    <col min="13" max="13" width="15" customWidth="1"/>
  </cols>
  <sheetData>
    <row r="1" spans="1:13" ht="35" customHeight="1">
      <c r="A1" s="3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134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135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/>
      <c r="J6" s="5" t="s">
        <v>102</v>
      </c>
      <c r="K6" s="5"/>
      <c r="L6" s="5"/>
      <c r="M6" s="5"/>
    </row>
    <row r="7" spans="1:13" ht="42" customHeight="1">
      <c r="A7" s="6" t="s">
        <v>136</v>
      </c>
      <c r="B7" s="6" t="s">
        <v>104</v>
      </c>
      <c r="C7" s="6" t="s">
        <v>105</v>
      </c>
      <c r="D7" s="6" t="s">
        <v>137</v>
      </c>
      <c r="E7" s="6" t="s">
        <v>107</v>
      </c>
      <c r="F7" s="6" t="s">
        <v>108</v>
      </c>
      <c r="G7" s="6" t="s">
        <v>109</v>
      </c>
      <c r="H7" s="6" t="s">
        <v>138</v>
      </c>
      <c r="I7" s="2"/>
      <c r="J7" s="6" t="s">
        <v>110</v>
      </c>
      <c r="K7" s="6" t="s">
        <v>111</v>
      </c>
      <c r="L7" s="6" t="s">
        <v>112</v>
      </c>
      <c r="M7" s="6" t="s">
        <v>113</v>
      </c>
    </row>
    <row r="8" spans="1:13" ht="32" customHeight="1">
      <c r="A8" s="12" t="s">
        <v>139</v>
      </c>
      <c r="B8" s="13">
        <v>0</v>
      </c>
      <c r="C8" s="13">
        <v>0</v>
      </c>
      <c r="D8" s="19">
        <v>1000000000</v>
      </c>
      <c r="E8" s="14" t="s">
        <v>115</v>
      </c>
      <c r="F8" s="13">
        <v>4</v>
      </c>
      <c r="G8" s="13">
        <v>0</v>
      </c>
      <c r="H8" s="15">
        <v>0</v>
      </c>
      <c r="I8" s="2"/>
      <c r="J8" s="8" t="s">
        <v>140</v>
      </c>
      <c r="K8" s="10">
        <f>IF(ABS(SIN($K$18/2))&lt;=0.000000000001,$F$8,$F$8*(SIN($G$29*$K$18/2)/($G$29*IF(ABS(SIN($K$18/2))&lt;=0.000000000001,1,SIN($K$18/2))))^2)</f>
        <v>3.2527146537442952</v>
      </c>
      <c r="L8" s="11">
        <v>3.2527143608897404</v>
      </c>
      <c r="M8" s="9">
        <f t="shared" ref="M8:M13" si="0">IF(AND(ISNUMBER(K8),ISNUMBER(L8)),IF(SIGN(K8)=0,"n/a (zero)",ABS(L8-K8)/ABS(K8)),IF(ISBLANK(L8),"missing export",IF(ISBLANK(K8),"missing input","n/a")))</f>
        <v>9.0033890458704415E-8</v>
      </c>
    </row>
    <row r="9" spans="1:13" ht="32" customHeight="1">
      <c r="A9" s="12" t="s">
        <v>139</v>
      </c>
      <c r="B9" s="13">
        <v>0</v>
      </c>
      <c r="C9" s="13">
        <v>0</v>
      </c>
      <c r="D9" s="19">
        <v>2000000000</v>
      </c>
      <c r="E9" s="14" t="s">
        <v>115</v>
      </c>
      <c r="F9" s="13">
        <v>4</v>
      </c>
      <c r="G9" s="13">
        <v>0</v>
      </c>
      <c r="H9" s="15">
        <v>0</v>
      </c>
      <c r="I9" s="2"/>
      <c r="J9" s="8" t="s">
        <v>141</v>
      </c>
      <c r="K9" s="10">
        <f>(15-$G$28/2)*$G$27/(2*($D$9-$D$8)*$G$28)</f>
        <v>-4.6842571562499997E-3</v>
      </c>
      <c r="L9" s="11">
        <v>-4.6842571562500006E-3</v>
      </c>
      <c r="M9" s="9">
        <f t="shared" si="0"/>
        <v>1.8516526933862303E-16</v>
      </c>
    </row>
    <row r="10" spans="1:13" ht="32" customHeight="1">
      <c r="A10" s="12" t="s">
        <v>139</v>
      </c>
      <c r="B10" s="13">
        <v>0</v>
      </c>
      <c r="C10" s="13">
        <v>0</v>
      </c>
      <c r="D10" s="19">
        <v>3000000000</v>
      </c>
      <c r="E10" s="14" t="s">
        <v>115</v>
      </c>
      <c r="F10" s="13">
        <v>4</v>
      </c>
      <c r="G10" s="13">
        <v>0</v>
      </c>
      <c r="H10" s="15">
        <v>0</v>
      </c>
      <c r="I10" s="2"/>
      <c r="J10" s="8" t="s">
        <v>142</v>
      </c>
      <c r="K10" s="10">
        <f>IF(ABS(SIN($K$20/2))&lt;=0.000000000001,$F$8,$F$8*(SIN($G$29*$K$20/2)/($G$29*IF(ABS(SIN($K$20/2))&lt;=0.000000000001,1,SIN($K$20/2))))^2)</f>
        <v>4</v>
      </c>
      <c r="L10" s="11">
        <v>4</v>
      </c>
      <c r="M10" s="9">
        <f t="shared" si="0"/>
        <v>0</v>
      </c>
    </row>
    <row r="11" spans="1:13" ht="32" customHeight="1">
      <c r="A11" s="12" t="s">
        <v>139</v>
      </c>
      <c r="B11" s="13">
        <v>0</v>
      </c>
      <c r="C11" s="13">
        <v>0</v>
      </c>
      <c r="D11" s="19">
        <v>4000000000</v>
      </c>
      <c r="E11" s="14" t="s">
        <v>115</v>
      </c>
      <c r="F11" s="13">
        <v>4</v>
      </c>
      <c r="G11" s="13">
        <v>0</v>
      </c>
      <c r="H11" s="15">
        <v>0</v>
      </c>
      <c r="I11" s="2"/>
      <c r="J11" s="8" t="s">
        <v>143</v>
      </c>
      <c r="K11" s="10">
        <f>(16-$G$28/2)*$G$27/(2*($D$9-$D$8)*$G$28)</f>
        <v>0</v>
      </c>
      <c r="L11" s="11">
        <v>0</v>
      </c>
      <c r="M11" s="9" t="str">
        <f t="shared" si="0"/>
        <v>n/a (zero)</v>
      </c>
    </row>
    <row r="12" spans="1:13" ht="32" customHeight="1">
      <c r="A12" s="12" t="s">
        <v>139</v>
      </c>
      <c r="B12" s="13">
        <v>0</v>
      </c>
      <c r="C12" s="13">
        <v>0</v>
      </c>
      <c r="D12" s="19">
        <v>5000000000</v>
      </c>
      <c r="E12" s="14" t="s">
        <v>115</v>
      </c>
      <c r="F12" s="13">
        <v>4</v>
      </c>
      <c r="G12" s="13">
        <v>0</v>
      </c>
      <c r="H12" s="15">
        <v>0</v>
      </c>
      <c r="I12" s="2"/>
      <c r="J12" s="8" t="s">
        <v>144</v>
      </c>
      <c r="K12" s="10">
        <f>IF(ABS(SIN($K$22/2))&lt;=0.000000000001,$F$16,$F$16*(SIN($G$29*$K$22/2)/($G$29*IF(ABS(SIN($K$22/2))&lt;=0.000000000001,1,SIN($K$22/2))))^2)</f>
        <v>0.81317866343607381</v>
      </c>
      <c r="L12" s="11">
        <v>0.81317869772110285</v>
      </c>
      <c r="M12" s="9">
        <f t="shared" si="0"/>
        <v>4.2161742037286299E-8</v>
      </c>
    </row>
    <row r="13" spans="1:13" ht="32" customHeight="1">
      <c r="A13" s="12" t="s">
        <v>139</v>
      </c>
      <c r="B13" s="13">
        <v>0</v>
      </c>
      <c r="C13" s="13">
        <v>0</v>
      </c>
      <c r="D13" s="19">
        <v>6000000000</v>
      </c>
      <c r="E13" s="14" t="s">
        <v>115</v>
      </c>
      <c r="F13" s="13">
        <v>4</v>
      </c>
      <c r="G13" s="13">
        <v>0</v>
      </c>
      <c r="H13" s="15">
        <v>0</v>
      </c>
      <c r="I13" s="2"/>
      <c r="J13" s="8" t="s">
        <v>145</v>
      </c>
      <c r="K13" s="10">
        <f>IF(ABS(SIN($K$24/2))&lt;=0.000000000001,$F$16,$F$16*(SIN($G$29*$K$24/2)/($G$29*IF(ABS(SIN($K$24/2))&lt;=0.000000000001,1,SIN($K$24/2))))^2)</f>
        <v>1</v>
      </c>
      <c r="L13" s="11">
        <v>1</v>
      </c>
      <c r="M13" s="9">
        <f t="shared" si="0"/>
        <v>0</v>
      </c>
    </row>
    <row r="14" spans="1:13" ht="27" customHeight="1">
      <c r="A14" s="12" t="s">
        <v>139</v>
      </c>
      <c r="B14" s="13">
        <v>0</v>
      </c>
      <c r="C14" s="13">
        <v>0</v>
      </c>
      <c r="D14" s="19">
        <v>7000000000</v>
      </c>
      <c r="E14" s="14" t="s">
        <v>115</v>
      </c>
      <c r="F14" s="13">
        <v>4</v>
      </c>
      <c r="G14" s="13">
        <v>0</v>
      </c>
      <c r="H14" s="15">
        <v>0</v>
      </c>
      <c r="I14" s="2"/>
      <c r="J14" s="2"/>
      <c r="K14" s="2"/>
      <c r="L14" s="2"/>
      <c r="M14" s="2"/>
    </row>
    <row r="15" spans="1:13" ht="27" customHeight="1">
      <c r="A15" s="12" t="s">
        <v>139</v>
      </c>
      <c r="B15" s="13">
        <v>0</v>
      </c>
      <c r="C15" s="13">
        <v>0</v>
      </c>
      <c r="D15" s="19">
        <v>8000000000</v>
      </c>
      <c r="E15" s="14" t="s">
        <v>115</v>
      </c>
      <c r="F15" s="13">
        <v>4</v>
      </c>
      <c r="G15" s="13">
        <v>0</v>
      </c>
      <c r="H15" s="15">
        <v>0</v>
      </c>
      <c r="I15" s="2"/>
      <c r="J15" s="2"/>
      <c r="K15" s="2"/>
      <c r="L15" s="2"/>
      <c r="M15" s="2"/>
    </row>
    <row r="16" spans="1:13" ht="27" customHeight="1">
      <c r="A16" s="12" t="s">
        <v>146</v>
      </c>
      <c r="B16" s="13">
        <v>30</v>
      </c>
      <c r="C16" s="13">
        <v>0</v>
      </c>
      <c r="D16" s="19">
        <v>1000000000</v>
      </c>
      <c r="E16" s="14" t="s">
        <v>115</v>
      </c>
      <c r="F16" s="13">
        <v>1</v>
      </c>
      <c r="G16" s="16">
        <v>-56.25</v>
      </c>
      <c r="H16" s="20">
        <v>2.3421285781249999E-2</v>
      </c>
      <c r="I16" s="2"/>
      <c r="J16" s="5" t="s">
        <v>147</v>
      </c>
      <c r="K16" s="2"/>
      <c r="L16" s="2"/>
      <c r="M16" s="2"/>
    </row>
    <row r="17" spans="1:13" ht="32" customHeight="1">
      <c r="A17" s="12" t="s">
        <v>146</v>
      </c>
      <c r="B17" s="13">
        <v>30</v>
      </c>
      <c r="C17" s="13">
        <v>0</v>
      </c>
      <c r="D17" s="19">
        <v>2000000000</v>
      </c>
      <c r="E17" s="14" t="s">
        <v>115</v>
      </c>
      <c r="F17" s="13">
        <v>1</v>
      </c>
      <c r="G17" s="16">
        <v>-112.5</v>
      </c>
      <c r="H17" s="20">
        <v>2.3421285781249999E-2</v>
      </c>
      <c r="I17" s="2"/>
      <c r="J17" s="8" t="s">
        <v>148</v>
      </c>
      <c r="K17" s="10">
        <f>(15-$G$28/2)*$G$27/(2*($D$9-$D$8)*$G$28)</f>
        <v>-4.6842571562499997E-3</v>
      </c>
      <c r="L17" s="2"/>
      <c r="M17" s="2"/>
    </row>
    <row r="18" spans="1:13" ht="32" customHeight="1">
      <c r="A18" s="12" t="s">
        <v>146</v>
      </c>
      <c r="B18" s="13">
        <v>30</v>
      </c>
      <c r="C18" s="13">
        <v>0</v>
      </c>
      <c r="D18" s="19">
        <v>3000000000</v>
      </c>
      <c r="E18" s="14" t="s">
        <v>115</v>
      </c>
      <c r="F18" s="13">
        <v>1</v>
      </c>
      <c r="G18" s="16">
        <v>-168.74999999999997</v>
      </c>
      <c r="H18" s="20">
        <v>2.3421285781249999E-2</v>
      </c>
      <c r="I18" s="2"/>
      <c r="J18" s="8" t="s">
        <v>149</v>
      </c>
      <c r="K18" s="10">
        <f>4*PI()*($D$9-$D$8)*($K$17-$H$8)/$G$27</f>
        <v>-0.19634954084936207</v>
      </c>
      <c r="L18" s="2"/>
      <c r="M18" s="2"/>
    </row>
    <row r="19" spans="1:13" ht="32" customHeight="1">
      <c r="A19" s="12" t="s">
        <v>146</v>
      </c>
      <c r="B19" s="13">
        <v>30</v>
      </c>
      <c r="C19" s="13">
        <v>0</v>
      </c>
      <c r="D19" s="19">
        <v>4000000000</v>
      </c>
      <c r="E19" s="14" t="s">
        <v>115</v>
      </c>
      <c r="F19" s="13">
        <v>1</v>
      </c>
      <c r="G19" s="13">
        <v>135</v>
      </c>
      <c r="H19" s="20">
        <v>2.3421285781249999E-2</v>
      </c>
      <c r="I19" s="2"/>
      <c r="J19" s="8" t="s">
        <v>150</v>
      </c>
      <c r="K19" s="10">
        <f>(16-$G$28/2)*$G$27/(2*($D$9-$D$8)*$G$28)</f>
        <v>0</v>
      </c>
      <c r="L19" s="2"/>
      <c r="M19" s="2"/>
    </row>
    <row r="20" spans="1:13" ht="32" customHeight="1">
      <c r="A20" s="12" t="s">
        <v>146</v>
      </c>
      <c r="B20" s="13">
        <v>30</v>
      </c>
      <c r="C20" s="13">
        <v>0</v>
      </c>
      <c r="D20" s="19">
        <v>5000000000</v>
      </c>
      <c r="E20" s="14" t="s">
        <v>115</v>
      </c>
      <c r="F20" s="13">
        <v>1</v>
      </c>
      <c r="G20" s="16">
        <v>78.750000000000057</v>
      </c>
      <c r="H20" s="20">
        <v>2.3421285781249999E-2</v>
      </c>
      <c r="I20" s="2"/>
      <c r="J20" s="8" t="s">
        <v>151</v>
      </c>
      <c r="K20" s="10">
        <f>4*PI()*($D$9-$D$8)*($K$19-$H$8)/$G$27</f>
        <v>0</v>
      </c>
      <c r="L20" s="2"/>
      <c r="M20" s="2"/>
    </row>
    <row r="21" spans="1:13" ht="32" customHeight="1">
      <c r="A21" s="12" t="s">
        <v>146</v>
      </c>
      <c r="B21" s="13">
        <v>30</v>
      </c>
      <c r="C21" s="13">
        <v>0</v>
      </c>
      <c r="D21" s="19">
        <v>6000000000</v>
      </c>
      <c r="E21" s="14" t="s">
        <v>115</v>
      </c>
      <c r="F21" s="13">
        <v>1</v>
      </c>
      <c r="G21" s="16">
        <v>22.500000000000085</v>
      </c>
      <c r="H21" s="20">
        <v>2.3421285781249999E-2</v>
      </c>
      <c r="I21" s="2"/>
      <c r="J21" s="8" t="s">
        <v>152</v>
      </c>
      <c r="K21" s="10">
        <f>(20-$G$28/2)*$G$27/(2*($D$9-$D$8)*$G$28)</f>
        <v>1.8737028624999999E-2</v>
      </c>
      <c r="L21" s="2"/>
      <c r="M21" s="2"/>
    </row>
    <row r="22" spans="1:13" ht="32" customHeight="1">
      <c r="A22" s="12" t="s">
        <v>146</v>
      </c>
      <c r="B22" s="13">
        <v>30</v>
      </c>
      <c r="C22" s="13">
        <v>0</v>
      </c>
      <c r="D22" s="19">
        <v>7000000000</v>
      </c>
      <c r="E22" s="14" t="s">
        <v>115</v>
      </c>
      <c r="F22" s="13">
        <v>1</v>
      </c>
      <c r="G22" s="16">
        <v>-33.749999999999972</v>
      </c>
      <c r="H22" s="20">
        <v>2.3421285781249999E-2</v>
      </c>
      <c r="I22" s="2"/>
      <c r="J22" s="8" t="s">
        <v>153</v>
      </c>
      <c r="K22" s="10">
        <f>4*PI()*($D$9-$D$8)*($K$21-$H$16)/$G$27</f>
        <v>-0.19634954084936207</v>
      </c>
      <c r="L22" s="2"/>
      <c r="M22" s="2"/>
    </row>
    <row r="23" spans="1:13" ht="32" customHeight="1">
      <c r="A23" s="12" t="s">
        <v>146</v>
      </c>
      <c r="B23" s="13">
        <v>30</v>
      </c>
      <c r="C23" s="13">
        <v>0</v>
      </c>
      <c r="D23" s="19">
        <v>8000000000</v>
      </c>
      <c r="E23" s="14" t="s">
        <v>115</v>
      </c>
      <c r="F23" s="13">
        <v>1</v>
      </c>
      <c r="G23" s="16">
        <v>-89.999999999999986</v>
      </c>
      <c r="H23" s="20">
        <v>2.3421285781249999E-2</v>
      </c>
      <c r="I23" s="2"/>
      <c r="J23" s="8" t="s">
        <v>154</v>
      </c>
      <c r="K23" s="10">
        <f>(21-$G$28/2)*$G$27/(2*($D$9-$D$8)*$G$28)</f>
        <v>2.3421285781249999E-2</v>
      </c>
      <c r="L23" s="2"/>
      <c r="M23" s="2"/>
    </row>
    <row r="24" spans="1:13" ht="32" customHeight="1">
      <c r="A24" s="2"/>
      <c r="B24" s="2"/>
      <c r="C24" s="2"/>
      <c r="D24" s="2"/>
      <c r="E24" s="2"/>
      <c r="F24" s="2"/>
      <c r="G24" s="2"/>
      <c r="H24" s="2"/>
      <c r="I24" s="2"/>
      <c r="J24" s="8" t="s">
        <v>155</v>
      </c>
      <c r="K24" s="10">
        <f>4*PI()*($D$9-$D$8)*($K$23-$H$16)/$G$27</f>
        <v>0</v>
      </c>
      <c r="L24" s="2"/>
      <c r="M24" s="2"/>
    </row>
    <row r="25" spans="1:13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27" customHeight="1">
      <c r="A26" s="5" t="s">
        <v>156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7" customHeight="1">
      <c r="A27" s="2" t="s">
        <v>157</v>
      </c>
      <c r="B27" s="2"/>
      <c r="C27" s="2"/>
      <c r="D27" s="2"/>
      <c r="E27" s="2"/>
      <c r="F27" s="2"/>
      <c r="G27" s="7">
        <v>299792458</v>
      </c>
      <c r="H27" s="2"/>
      <c r="I27" s="2"/>
      <c r="J27" s="2"/>
      <c r="K27" s="2"/>
      <c r="L27" s="2"/>
      <c r="M27" s="2"/>
    </row>
    <row r="28" spans="1:13" ht="27" customHeight="1">
      <c r="A28" s="2" t="s">
        <v>158</v>
      </c>
      <c r="B28" s="2"/>
      <c r="C28" s="2"/>
      <c r="D28" s="2"/>
      <c r="E28" s="2"/>
      <c r="F28" s="2"/>
      <c r="G28" s="7">
        <v>32</v>
      </c>
      <c r="H28" s="2"/>
      <c r="I28" s="2"/>
      <c r="J28" s="2"/>
      <c r="K28" s="2"/>
      <c r="L28" s="2"/>
      <c r="M28" s="2"/>
    </row>
    <row r="29" spans="1:13" ht="27" customHeight="1">
      <c r="A29" s="2" t="s">
        <v>159</v>
      </c>
      <c r="B29" s="2"/>
      <c r="C29" s="2"/>
      <c r="D29" s="2"/>
      <c r="E29" s="2"/>
      <c r="F29" s="2"/>
      <c r="G29" s="7">
        <v>8</v>
      </c>
      <c r="H29" s="2"/>
      <c r="I29" s="2"/>
      <c r="J29" s="2"/>
      <c r="K29" s="2"/>
      <c r="L29" s="2"/>
      <c r="M29" s="2"/>
    </row>
    <row r="30" spans="1:13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27" customHeight="1">
      <c r="A32" s="2" t="s">
        <v>160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27" customHeight="1">
      <c r="A34" s="4" t="s">
        <v>122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2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161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162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6" t="s">
        <v>109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21">
        <v>-150</v>
      </c>
      <c r="B8" s="13">
        <v>0</v>
      </c>
      <c r="C8" s="13">
        <v>10</v>
      </c>
      <c r="D8" s="14" t="s">
        <v>115</v>
      </c>
      <c r="E8" s="13">
        <v>1</v>
      </c>
      <c r="F8" s="15">
        <v>170</v>
      </c>
      <c r="G8" s="2"/>
      <c r="H8" s="8" t="s">
        <v>164</v>
      </c>
      <c r="I8" s="10">
        <f>RADIANS($A$8)</f>
        <v>-2.6179938779914944</v>
      </c>
      <c r="J8" s="11">
        <v>-2.6179938779914944</v>
      </c>
      <c r="K8" s="9">
        <f>IF(AND(ISNUMBER(I8),ISNUMBER(J8)),IF(SIGN(I8)=0,"n/a (zero)",ABS(J8-I8)/ABS(I8)),IF(ISBLANK(J8),"missing export",IF(ISBLANK(I8),"missing input","n/a")))</f>
        <v>0</v>
      </c>
    </row>
    <row r="9" spans="1:11" ht="32" customHeight="1">
      <c r="A9" s="21">
        <v>-90</v>
      </c>
      <c r="B9" s="13">
        <v>0</v>
      </c>
      <c r="C9" s="13">
        <v>10</v>
      </c>
      <c r="D9" s="14" t="s">
        <v>115</v>
      </c>
      <c r="E9" s="13">
        <v>4</v>
      </c>
      <c r="F9" s="15">
        <v>-170</v>
      </c>
      <c r="G9" s="2"/>
      <c r="H9" s="8" t="s">
        <v>165</v>
      </c>
      <c r="I9" s="10">
        <f>IF($E$8="missing","missing",IF($E$8&lt;=0,"missing",10*LOG10($E$8)))</f>
        <v>0</v>
      </c>
      <c r="J9" s="11">
        <v>0</v>
      </c>
      <c r="K9" s="9">
        <f>IF(AND(ISNUMBER(I9),ISNUMBER(J9)),ABS(10^((J9-I9)/10)-1),IF(ISBLANK(J9),"missing export",IF(ISBLANK(I9),"missing input","n/a")))</f>
        <v>0</v>
      </c>
    </row>
    <row r="10" spans="1:11" ht="32" customHeight="1">
      <c r="A10" s="21">
        <v>-30</v>
      </c>
      <c r="B10" s="13">
        <v>0</v>
      </c>
      <c r="C10" s="13">
        <v>10</v>
      </c>
      <c r="D10" s="14" t="s">
        <v>115</v>
      </c>
      <c r="E10" s="13">
        <v>9</v>
      </c>
      <c r="F10" s="15">
        <v>30</v>
      </c>
      <c r="G10" s="2"/>
      <c r="H10" s="8" t="s">
        <v>166</v>
      </c>
      <c r="I10" s="10">
        <f>RADIANS($A$9)</f>
        <v>-1.5707963267948966</v>
      </c>
      <c r="J10" s="11">
        <v>-1.5707963267948966</v>
      </c>
      <c r="K10" s="9">
        <f>IF(AND(ISNUMBER(I10),ISNUMBER(J10)),IF(SIGN(I10)=0,"n/a (zero)",ABS(J10-I10)/ABS(I10)),IF(ISBLANK(J10),"missing export",IF(ISBLANK(I10),"missing input","n/a")))</f>
        <v>0</v>
      </c>
    </row>
    <row r="11" spans="1:11" ht="32" customHeight="1">
      <c r="A11" s="21">
        <v>30</v>
      </c>
      <c r="B11" s="13">
        <v>0</v>
      </c>
      <c r="C11" s="13">
        <v>10</v>
      </c>
      <c r="D11" s="14" t="s">
        <v>115</v>
      </c>
      <c r="E11" s="13">
        <v>16</v>
      </c>
      <c r="F11" s="15">
        <v>-90</v>
      </c>
      <c r="G11" s="2"/>
      <c r="H11" s="8" t="s">
        <v>167</v>
      </c>
      <c r="I11" s="10">
        <f>IF($E$9="missing","missing",IF($E$9&lt;=0,"missing",10*LOG10($E$9)))</f>
        <v>6.0205999132796242</v>
      </c>
      <c r="J11" s="11">
        <v>6.0205999132796242</v>
      </c>
      <c r="K11" s="9">
        <f>IF(AND(ISNUMBER(I11),ISNUMBER(J11)),ABS(10^((J11-I11)/10)-1),IF(ISBLANK(J11),"missing export",IF(ISBLANK(I11),"missing input","n/a")))</f>
        <v>0</v>
      </c>
    </row>
    <row r="12" spans="1:11" ht="32" customHeight="1">
      <c r="A12" s="21">
        <v>90</v>
      </c>
      <c r="B12" s="13">
        <v>0</v>
      </c>
      <c r="C12" s="13">
        <v>10</v>
      </c>
      <c r="D12" s="14" t="s">
        <v>115</v>
      </c>
      <c r="E12" s="13">
        <v>0</v>
      </c>
      <c r="F12" s="15" t="s">
        <v>168</v>
      </c>
      <c r="G12" s="2"/>
      <c r="H12" s="8" t="s">
        <v>169</v>
      </c>
      <c r="I12" s="10">
        <f>RADIANS($A$10)</f>
        <v>-0.52359877559829882</v>
      </c>
      <c r="J12" s="11">
        <v>-0.52359877559829882</v>
      </c>
      <c r="K12" s="9">
        <f>IF(AND(ISNUMBER(I12),ISNUMBER(J12)),IF(SIGN(I12)=0,"n/a (zero)",ABS(J12-I12)/ABS(I12)),IF(ISBLANK(J12),"missing export",IF(ISBLANK(I12),"missing input","n/a")))</f>
        <v>0</v>
      </c>
    </row>
    <row r="13" spans="1:11" ht="32" customHeight="1">
      <c r="A13" s="21">
        <v>150</v>
      </c>
      <c r="B13" s="13">
        <v>0</v>
      </c>
      <c r="C13" s="13">
        <v>10</v>
      </c>
      <c r="D13" s="14" t="s">
        <v>115</v>
      </c>
      <c r="E13" s="13" t="s">
        <v>168</v>
      </c>
      <c r="F13" s="15" t="s">
        <v>168</v>
      </c>
      <c r="G13" s="2"/>
      <c r="H13" s="8" t="s">
        <v>170</v>
      </c>
      <c r="I13" s="10">
        <f>IF($E$10="missing","missing",IF($E$10&lt;=0,"missing",10*LOG10($E$10)))</f>
        <v>9.5424250943932485</v>
      </c>
      <c r="J13" s="11">
        <v>9.5424250943932485</v>
      </c>
      <c r="K13" s="9">
        <f>IF(AND(ISNUMBER(I13),ISNUMBER(J13)),ABS(10^((J13-I13)/10)-1),IF(ISBLANK(J13),"missing export",IF(ISBLANK(I13),"missing input","n/a")))</f>
        <v>0</v>
      </c>
    </row>
    <row r="14" spans="1:11" ht="32" customHeight="1">
      <c r="A14" s="2"/>
      <c r="B14" s="2"/>
      <c r="C14" s="2"/>
      <c r="D14" s="2"/>
      <c r="E14" s="2"/>
      <c r="F14" s="2"/>
      <c r="G14" s="2"/>
      <c r="H14" s="8" t="s">
        <v>171</v>
      </c>
      <c r="I14" s="10">
        <f>RADIANS($A$11)</f>
        <v>0.52359877559829882</v>
      </c>
      <c r="J14" s="11">
        <v>0.52359877559829882</v>
      </c>
      <c r="K14" s="9">
        <f>IF(AND(ISNUMBER(I14),ISNUMBER(J14)),IF(SIGN(I14)=0,"n/a (zero)",ABS(J14-I14)/ABS(I14)),IF(ISBLANK(J14),"missing export",IF(ISBLANK(I14),"missing input","n/a")))</f>
        <v>0</v>
      </c>
    </row>
    <row r="15" spans="1:11" ht="32" customHeight="1">
      <c r="A15" s="2"/>
      <c r="B15" s="2"/>
      <c r="C15" s="2"/>
      <c r="D15" s="2"/>
      <c r="E15" s="2"/>
      <c r="F15" s="2"/>
      <c r="G15" s="2"/>
      <c r="H15" s="8" t="s">
        <v>172</v>
      </c>
      <c r="I15" s="10">
        <f>IF($E$11="missing","missing",IF($E$11&lt;=0,"missing",10*LOG10($E$11)))</f>
        <v>12.041199826559248</v>
      </c>
      <c r="J15" s="11">
        <v>12.041199826559248</v>
      </c>
      <c r="K15" s="9">
        <f>IF(AND(ISNUMBER(I15),ISNUMBER(J15)),ABS(10^((J15-I15)/10)-1),IF(ISBLANK(J15),"missing export",IF(ISBLANK(I15),"missing input","n/a")))</f>
        <v>0</v>
      </c>
    </row>
    <row r="16" spans="1:11" ht="32" customHeight="1">
      <c r="A16" s="2"/>
      <c r="B16" s="2"/>
      <c r="C16" s="2"/>
      <c r="D16" s="2"/>
      <c r="E16" s="2"/>
      <c r="F16" s="2"/>
      <c r="G16" s="2"/>
      <c r="H16" s="8" t="s">
        <v>173</v>
      </c>
      <c r="I16" s="10">
        <f>RADIANS($A$12)</f>
        <v>1.5707963267948966</v>
      </c>
      <c r="J16" s="11">
        <v>1.5707963267948966</v>
      </c>
      <c r="K16" s="9">
        <f>IF(AND(ISNUMBER(I16),ISNUMBER(J16)),IF(SIGN(I16)=0,"n/a (zero)",ABS(J16-I16)/ABS(I16)),IF(ISBLANK(J16),"missing export",IF(ISBLANK(I16),"missing input","n/a")))</f>
        <v>0</v>
      </c>
    </row>
    <row r="17" spans="1:11" ht="32" customHeight="1">
      <c r="A17" s="2"/>
      <c r="B17" s="2"/>
      <c r="C17" s="2"/>
      <c r="D17" s="2"/>
      <c r="E17" s="2"/>
      <c r="F17" s="2"/>
      <c r="G17" s="2"/>
      <c r="H17" s="8" t="s">
        <v>174</v>
      </c>
      <c r="I17" s="10" t="str">
        <f>IF($E$12="missing","missing",IF($E$12&lt;=0,"missing",10*LOG10($E$12)))</f>
        <v>missing</v>
      </c>
      <c r="J17" s="11" t="s">
        <v>168</v>
      </c>
      <c r="K17" s="9" t="str">
        <f>IF(AND(ISNUMBER(I17),ISNUMBER(J17)),ABS(10^((J17-I17)/10)-1),IF(ISBLANK(J17),"missing export",IF(ISBLANK(I17),"missing input","n/a")))</f>
        <v>n/a</v>
      </c>
    </row>
    <row r="18" spans="1:11" ht="32" customHeight="1">
      <c r="A18" s="2"/>
      <c r="B18" s="2"/>
      <c r="C18" s="2"/>
      <c r="D18" s="2"/>
      <c r="E18" s="2"/>
      <c r="F18" s="2"/>
      <c r="G18" s="2"/>
      <c r="H18" s="8" t="s">
        <v>175</v>
      </c>
      <c r="I18" s="10">
        <f>RADIANS($A$13)</f>
        <v>2.6179938779914944</v>
      </c>
      <c r="J18" s="11">
        <v>2.6179938779914944</v>
      </c>
      <c r="K18" s="9">
        <f>IF(AND(ISNUMBER(I18),ISNUMBER(J18)),IF(SIGN(I18)=0,"n/a (zero)",ABS(J18-I18)/ABS(I18)),IF(ISBLANK(J18),"missing export",IF(ISBLANK(I18),"missing input","n/a")))</f>
        <v>0</v>
      </c>
    </row>
    <row r="19" spans="1:11" ht="32" customHeight="1">
      <c r="A19" s="2" t="s">
        <v>176</v>
      </c>
      <c r="B19" s="2"/>
      <c r="C19" s="2"/>
      <c r="D19" s="2"/>
      <c r="E19" s="2"/>
      <c r="F19" s="2"/>
      <c r="G19" s="2"/>
      <c r="H19" s="8" t="s">
        <v>177</v>
      </c>
      <c r="I19" s="10" t="str">
        <f>IF($E$13="missing","missing",IF($E$13&lt;=0,"missing",10*LOG10($E$13)))</f>
        <v>missing</v>
      </c>
      <c r="J19" s="11" t="s">
        <v>168</v>
      </c>
      <c r="K19" s="9" t="str">
        <f>IF(AND(ISNUMBER(I19),ISNUMBER(J19)),ABS(10^((J19-I19)/10)-1),IF(ISBLANK(J19),"missing export",IF(ISBLANK(I19),"missing input","n/a")))</f>
        <v>n/a</v>
      </c>
    </row>
    <row r="20" spans="1:11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27" customHeight="1">
      <c r="A28" s="4" t="s">
        <v>178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161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179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6" t="s">
        <v>109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21">
        <v>-150</v>
      </c>
      <c r="B8" s="13">
        <v>0</v>
      </c>
      <c r="C8" s="13">
        <v>10</v>
      </c>
      <c r="D8" s="14" t="s">
        <v>115</v>
      </c>
      <c r="E8" s="13">
        <v>1</v>
      </c>
      <c r="F8" s="15">
        <v>170</v>
      </c>
      <c r="G8" s="2"/>
      <c r="H8" s="8" t="s">
        <v>165</v>
      </c>
      <c r="I8" s="10">
        <f>IF($E$8="missing","missing",IF($E$8&lt;=0,"missing",10*LOG10($E$8)))</f>
        <v>0</v>
      </c>
      <c r="J8" s="11">
        <v>0</v>
      </c>
      <c r="K8" s="9">
        <f t="shared" ref="K8:K13" si="0">IF(AND(ISNUMBER(I8),ISNUMBER(J8)),ABS(10^((J8-I8)/10)-1),IF(ISBLANK(J8),"missing export",IF(ISBLANK(I8),"missing input","n/a")))</f>
        <v>0</v>
      </c>
    </row>
    <row r="9" spans="1:11" ht="32" customHeight="1">
      <c r="A9" s="21">
        <v>-90</v>
      </c>
      <c r="B9" s="13">
        <v>0</v>
      </c>
      <c r="C9" s="13">
        <v>10</v>
      </c>
      <c r="D9" s="14" t="s">
        <v>115</v>
      </c>
      <c r="E9" s="13">
        <v>4</v>
      </c>
      <c r="F9" s="15">
        <v>-170</v>
      </c>
      <c r="G9" s="2"/>
      <c r="H9" s="8" t="s">
        <v>167</v>
      </c>
      <c r="I9" s="10">
        <f>IF($E$9="missing","missing",IF($E$9&lt;=0,"missing",10*LOG10($E$9)))</f>
        <v>6.0205999132796242</v>
      </c>
      <c r="J9" s="11">
        <v>6.0205999132796242</v>
      </c>
      <c r="K9" s="9">
        <f t="shared" si="0"/>
        <v>0</v>
      </c>
    </row>
    <row r="10" spans="1:11" ht="32" customHeight="1">
      <c r="A10" s="21">
        <v>-30</v>
      </c>
      <c r="B10" s="13">
        <v>0</v>
      </c>
      <c r="C10" s="13">
        <v>10</v>
      </c>
      <c r="D10" s="14" t="s">
        <v>115</v>
      </c>
      <c r="E10" s="13">
        <v>9</v>
      </c>
      <c r="F10" s="15">
        <v>30</v>
      </c>
      <c r="G10" s="2"/>
      <c r="H10" s="8" t="s">
        <v>170</v>
      </c>
      <c r="I10" s="10">
        <f>IF($E$10="missing","missing",IF($E$10&lt;=0,"missing",10*LOG10($E$10)))</f>
        <v>9.5424250943932485</v>
      </c>
      <c r="J10" s="11">
        <v>9.5424250943932485</v>
      </c>
      <c r="K10" s="9">
        <f t="shared" si="0"/>
        <v>0</v>
      </c>
    </row>
    <row r="11" spans="1:11" ht="32" customHeight="1">
      <c r="A11" s="21">
        <v>30</v>
      </c>
      <c r="B11" s="13">
        <v>0</v>
      </c>
      <c r="C11" s="13">
        <v>10</v>
      </c>
      <c r="D11" s="14" t="s">
        <v>115</v>
      </c>
      <c r="E11" s="13">
        <v>16</v>
      </c>
      <c r="F11" s="15">
        <v>-90</v>
      </c>
      <c r="G11" s="2"/>
      <c r="H11" s="8" t="s">
        <v>172</v>
      </c>
      <c r="I11" s="10">
        <f>IF($E$11="missing","missing",IF($E$11&lt;=0,"missing",10*LOG10($E$11)))</f>
        <v>12.041199826559248</v>
      </c>
      <c r="J11" s="11">
        <v>12.041199826559248</v>
      </c>
      <c r="K11" s="9">
        <f t="shared" si="0"/>
        <v>0</v>
      </c>
    </row>
    <row r="12" spans="1:11" ht="32" customHeight="1">
      <c r="A12" s="21">
        <v>90</v>
      </c>
      <c r="B12" s="13">
        <v>0</v>
      </c>
      <c r="C12" s="13">
        <v>10</v>
      </c>
      <c r="D12" s="14" t="s">
        <v>115</v>
      </c>
      <c r="E12" s="13">
        <v>0</v>
      </c>
      <c r="F12" s="15" t="s">
        <v>168</v>
      </c>
      <c r="G12" s="2"/>
      <c r="H12" s="8" t="s">
        <v>174</v>
      </c>
      <c r="I12" s="10" t="str">
        <f>IF($E$12="missing","missing",IF($E$12&lt;=0,"missing",10*LOG10($E$12)))</f>
        <v>missing</v>
      </c>
      <c r="J12" s="11" t="s">
        <v>168</v>
      </c>
      <c r="K12" s="9" t="str">
        <f t="shared" si="0"/>
        <v>n/a</v>
      </c>
    </row>
    <row r="13" spans="1:11" ht="32" customHeight="1">
      <c r="A13" s="21">
        <v>150</v>
      </c>
      <c r="B13" s="13">
        <v>0</v>
      </c>
      <c r="C13" s="13">
        <v>10</v>
      </c>
      <c r="D13" s="14" t="s">
        <v>115</v>
      </c>
      <c r="E13" s="13" t="s">
        <v>168</v>
      </c>
      <c r="F13" s="15" t="s">
        <v>168</v>
      </c>
      <c r="G13" s="2"/>
      <c r="H13" s="8" t="s">
        <v>177</v>
      </c>
      <c r="I13" s="10" t="str">
        <f>IF($E$13="missing","missing",IF($E$13&lt;=0,"missing",10*LOG10($E$13)))</f>
        <v>missing</v>
      </c>
      <c r="J13" s="11" t="s">
        <v>168</v>
      </c>
      <c r="K13" s="9" t="str">
        <f t="shared" si="0"/>
        <v>n/a</v>
      </c>
    </row>
    <row r="14" spans="1:11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7" customHeight="1">
      <c r="A19" s="2" t="s">
        <v>180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7" customHeight="1">
      <c r="A21" s="4" t="s">
        <v>122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7" customHeight="1">
      <c r="A22" s="4" t="s">
        <v>178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5" width="14" customWidth="1"/>
    <col min="6" max="6" width="3" customWidth="1"/>
    <col min="7" max="7" width="31" customWidth="1"/>
    <col min="8" max="9" width="17" customWidth="1"/>
    <col min="10" max="10" width="15" customWidth="1"/>
  </cols>
  <sheetData>
    <row r="1" spans="1:10" ht="35" customHeight="1">
      <c r="A1" s="3" t="s">
        <v>17</v>
      </c>
      <c r="B1" s="2"/>
      <c r="C1" s="2"/>
      <c r="D1" s="2"/>
      <c r="E1" s="2"/>
      <c r="F1" s="2"/>
      <c r="G1" s="2"/>
      <c r="H1" s="2"/>
      <c r="I1" s="2"/>
      <c r="J1" s="2"/>
    </row>
    <row r="2" spans="1:10" ht="27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7" customHeight="1">
      <c r="A3" s="2" t="s">
        <v>181</v>
      </c>
      <c r="B3" s="2"/>
      <c r="C3" s="2"/>
      <c r="D3" s="2"/>
      <c r="E3" s="2"/>
      <c r="F3" s="2"/>
      <c r="G3" s="2"/>
      <c r="H3" s="2"/>
      <c r="I3" s="2"/>
      <c r="J3" s="2"/>
    </row>
    <row r="4" spans="1:10" ht="27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7" customHeight="1">
      <c r="A5" s="4" t="s">
        <v>182</v>
      </c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>
      <c r="A6" s="5" t="s">
        <v>101</v>
      </c>
      <c r="B6" s="5"/>
      <c r="C6" s="5"/>
      <c r="D6" s="5"/>
      <c r="E6" s="5"/>
      <c r="F6" s="5"/>
      <c r="G6" s="5" t="s">
        <v>102</v>
      </c>
      <c r="H6" s="5"/>
      <c r="I6" s="5"/>
      <c r="J6" s="5"/>
    </row>
    <row r="7" spans="1:10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2"/>
      <c r="G7" s="6" t="s">
        <v>110</v>
      </c>
      <c r="H7" s="6" t="s">
        <v>111</v>
      </c>
      <c r="I7" s="6" t="s">
        <v>112</v>
      </c>
      <c r="J7" s="6" t="s">
        <v>113</v>
      </c>
    </row>
    <row r="8" spans="1:10" ht="32" customHeight="1">
      <c r="A8" s="21">
        <v>0</v>
      </c>
      <c r="B8" s="13">
        <v>0</v>
      </c>
      <c r="C8" s="13">
        <v>10</v>
      </c>
      <c r="D8" s="14" t="s">
        <v>115</v>
      </c>
      <c r="E8" s="15">
        <v>0</v>
      </c>
      <c r="F8" s="2"/>
      <c r="G8" s="8" t="s">
        <v>183</v>
      </c>
      <c r="H8" s="10">
        <f>100*COUNTIFS($E$8:$E$13,"&lt;="&amp;$E$8,$E$8:$E$13,"&gt;=0")/COUNT($E$8:$E$13)</f>
        <v>20</v>
      </c>
      <c r="I8" s="11">
        <v>20</v>
      </c>
      <c r="J8" s="9">
        <f t="shared" ref="J8:J15" si="0">IF(AND(ISNUMBER(H8),ISNUMBER(I8)),IF(SIGN(H8)=0,"n/a (zero)",ABS(I8-H8)/ABS(H8)),IF(ISBLANK(I8),"missing export",IF(ISBLANK(H8),"missing input","n/a")))</f>
        <v>0</v>
      </c>
    </row>
    <row r="9" spans="1:10" ht="32" customHeight="1">
      <c r="A9" s="21">
        <v>30</v>
      </c>
      <c r="B9" s="13">
        <v>0</v>
      </c>
      <c r="C9" s="13">
        <v>10</v>
      </c>
      <c r="D9" s="14" t="s">
        <v>115</v>
      </c>
      <c r="E9" s="15">
        <v>1</v>
      </c>
      <c r="F9" s="2"/>
      <c r="G9" s="8" t="s">
        <v>184</v>
      </c>
      <c r="H9" s="10">
        <f>100*COUNTIFS($E$8:$E$13,"&gt;="&amp;$E$8,$E$8:$E$13,"&gt;=0")/COUNT($E$8:$E$13)</f>
        <v>100</v>
      </c>
      <c r="I9" s="11">
        <v>100</v>
      </c>
      <c r="J9" s="9">
        <f t="shared" si="0"/>
        <v>0</v>
      </c>
    </row>
    <row r="10" spans="1:10" ht="32" customHeight="1">
      <c r="A10" s="21">
        <v>60</v>
      </c>
      <c r="B10" s="13">
        <v>0</v>
      </c>
      <c r="C10" s="13">
        <v>10</v>
      </c>
      <c r="D10" s="14" t="s">
        <v>115</v>
      </c>
      <c r="E10" s="15">
        <v>1</v>
      </c>
      <c r="F10" s="2"/>
      <c r="G10" s="8" t="s">
        <v>185</v>
      </c>
      <c r="H10" s="10">
        <f>100*COUNTIFS($E$8:$E$13,"&lt;="&amp;$E$9,$E$8:$E$13,"&gt;=0")/COUNT($E$8:$E$13)</f>
        <v>60</v>
      </c>
      <c r="I10" s="11">
        <v>60.000000000000007</v>
      </c>
      <c r="J10" s="9">
        <f t="shared" si="0"/>
        <v>1.1842378929335003E-16</v>
      </c>
    </row>
    <row r="11" spans="1:10" ht="32" customHeight="1">
      <c r="A11" s="21">
        <v>90</v>
      </c>
      <c r="B11" s="13">
        <v>0</v>
      </c>
      <c r="C11" s="13">
        <v>10</v>
      </c>
      <c r="D11" s="14" t="s">
        <v>115</v>
      </c>
      <c r="E11" s="15">
        <v>4</v>
      </c>
      <c r="F11" s="2"/>
      <c r="G11" s="8" t="s">
        <v>186</v>
      </c>
      <c r="H11" s="10">
        <f>100*COUNTIFS($E$8:$E$13,"&gt;="&amp;$E$9,$E$8:$E$13,"&gt;=0")/COUNT($E$8:$E$13)</f>
        <v>80</v>
      </c>
      <c r="I11" s="11">
        <v>80</v>
      </c>
      <c r="J11" s="9">
        <f t="shared" si="0"/>
        <v>0</v>
      </c>
    </row>
    <row r="12" spans="1:10" ht="32" customHeight="1">
      <c r="A12" s="21">
        <v>120</v>
      </c>
      <c r="B12" s="13">
        <v>0</v>
      </c>
      <c r="C12" s="13">
        <v>10</v>
      </c>
      <c r="D12" s="14" t="s">
        <v>115</v>
      </c>
      <c r="E12" s="15">
        <v>9</v>
      </c>
      <c r="F12" s="2"/>
      <c r="G12" s="8" t="s">
        <v>187</v>
      </c>
      <c r="H12" s="10">
        <f>100*COUNTIFS($E$8:$E$13,"&lt;="&amp;$E$11,$E$8:$E$13,"&gt;=0")/COUNT($E$8:$E$13)</f>
        <v>80</v>
      </c>
      <c r="I12" s="11">
        <v>80</v>
      </c>
      <c r="J12" s="9">
        <f t="shared" si="0"/>
        <v>0</v>
      </c>
    </row>
    <row r="13" spans="1:10" ht="32" customHeight="1">
      <c r="A13" s="21">
        <v>150</v>
      </c>
      <c r="B13" s="13">
        <v>0</v>
      </c>
      <c r="C13" s="13">
        <v>10</v>
      </c>
      <c r="D13" s="14" t="s">
        <v>115</v>
      </c>
      <c r="E13" s="15" t="s">
        <v>168</v>
      </c>
      <c r="F13" s="2"/>
      <c r="G13" s="8" t="s">
        <v>188</v>
      </c>
      <c r="H13" s="10">
        <f>100*COUNTIFS($E$8:$E$13,"&gt;="&amp;$E$11,$E$8:$E$13,"&gt;=0")/COUNT($E$8:$E$13)</f>
        <v>40</v>
      </c>
      <c r="I13" s="11">
        <v>40</v>
      </c>
      <c r="J13" s="9">
        <f t="shared" si="0"/>
        <v>0</v>
      </c>
    </row>
    <row r="14" spans="1:10" ht="32" customHeight="1">
      <c r="A14" s="2"/>
      <c r="B14" s="2"/>
      <c r="C14" s="2"/>
      <c r="D14" s="2"/>
      <c r="E14" s="2"/>
      <c r="F14" s="2"/>
      <c r="G14" s="8" t="s">
        <v>189</v>
      </c>
      <c r="H14" s="10">
        <f>100*COUNTIFS($E$8:$E$13,"&lt;="&amp;$E$12,$E$8:$E$13,"&gt;=0")/COUNT($E$8:$E$13)</f>
        <v>100</v>
      </c>
      <c r="I14" s="11">
        <v>100</v>
      </c>
      <c r="J14" s="9">
        <f t="shared" si="0"/>
        <v>0</v>
      </c>
    </row>
    <row r="15" spans="1:10" ht="32" customHeight="1">
      <c r="A15" s="2"/>
      <c r="B15" s="2"/>
      <c r="C15" s="2"/>
      <c r="D15" s="2"/>
      <c r="E15" s="2"/>
      <c r="F15" s="2"/>
      <c r="G15" s="8" t="s">
        <v>190</v>
      </c>
      <c r="H15" s="10">
        <f>100*COUNTIFS($E$8:$E$13,"&gt;="&amp;$E$12,$E$8:$E$13,"&gt;=0")/COUNT($E$8:$E$13)</f>
        <v>20</v>
      </c>
      <c r="I15" s="11">
        <v>20</v>
      </c>
      <c r="J15" s="9">
        <f t="shared" si="0"/>
        <v>0</v>
      </c>
    </row>
    <row r="16" spans="1:10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27" customHeight="1">
      <c r="A19" s="2" t="s">
        <v>191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7" customHeight="1">
      <c r="A23" s="4" t="s">
        <v>122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ht="27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7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2" customWidth="1"/>
    <col min="8" max="8" width="14" customWidth="1"/>
    <col min="9" max="9" width="3" customWidth="1"/>
    <col min="10" max="10" width="31" customWidth="1"/>
    <col min="11" max="12" width="17" customWidth="1"/>
    <col min="13" max="13" width="15" customWidth="1"/>
  </cols>
  <sheetData>
    <row r="1" spans="1:13" ht="35" customHeight="1">
      <c r="A1" s="3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192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193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/>
      <c r="J6" s="5" t="s">
        <v>102</v>
      </c>
      <c r="K6" s="5"/>
      <c r="L6" s="5"/>
      <c r="M6" s="5"/>
    </row>
    <row r="7" spans="1:13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194</v>
      </c>
      <c r="G7" s="6" t="s">
        <v>195</v>
      </c>
      <c r="H7" s="6" t="s">
        <v>196</v>
      </c>
      <c r="I7" s="2"/>
      <c r="J7" s="6" t="s">
        <v>110</v>
      </c>
      <c r="K7" s="6" t="s">
        <v>111</v>
      </c>
      <c r="L7" s="6" t="s">
        <v>112</v>
      </c>
      <c r="M7" s="6" t="s">
        <v>113</v>
      </c>
    </row>
    <row r="8" spans="1:13" ht="32" customHeight="1">
      <c r="A8" s="12" t="s">
        <v>197</v>
      </c>
      <c r="B8" s="13">
        <v>0</v>
      </c>
      <c r="C8" s="13">
        <v>0</v>
      </c>
      <c r="D8" s="13">
        <v>10</v>
      </c>
      <c r="E8" s="14" t="s">
        <v>115</v>
      </c>
      <c r="F8" s="13">
        <v>1</v>
      </c>
      <c r="G8" s="13">
        <v>2</v>
      </c>
      <c r="H8" s="22">
        <f>IF(OR($F$8="missing",$G$8="missing"),"missing",$F$8^2+$G$8^2)</f>
        <v>5</v>
      </c>
      <c r="I8" s="2"/>
      <c r="J8" s="8" t="s">
        <v>198</v>
      </c>
      <c r="K8" s="10">
        <f>IF(OR($F$8="missing",$G$8="missing",$F$15="missing",$G$15="missing"),"missing",($F$8-$F$15)^2+($G$8-$G$15)^2)</f>
        <v>13</v>
      </c>
      <c r="L8" s="11">
        <v>13</v>
      </c>
      <c r="M8" s="9">
        <f t="shared" ref="M8:M16" si="0">IF(AND(ISNUMBER(K8),ISNUMBER(L8)),IF(SIGN(K8)=0,"n/a (zero)",ABS(L8-K8)/ABS(K8)),IF(ISBLANK(L8),"missing export",IF(ISBLANK(K8),"missing input","n/a")))</f>
        <v>0</v>
      </c>
    </row>
    <row r="9" spans="1:13" ht="32" customHeight="1">
      <c r="A9" s="12" t="s">
        <v>197</v>
      </c>
      <c r="B9" s="13">
        <v>1</v>
      </c>
      <c r="C9" s="13">
        <v>0</v>
      </c>
      <c r="D9" s="13">
        <v>10</v>
      </c>
      <c r="E9" s="14" t="s">
        <v>115</v>
      </c>
      <c r="F9" s="13">
        <v>1</v>
      </c>
      <c r="G9" s="13">
        <v>0</v>
      </c>
      <c r="H9" s="22">
        <f>IF(OR($F$9="missing",$G$9="missing"),"missing",$F$9^2+$G$9^2)</f>
        <v>1</v>
      </c>
      <c r="I9" s="2"/>
      <c r="J9" s="8" t="s">
        <v>199</v>
      </c>
      <c r="K9" s="10">
        <f>IF(OR($F$9="missing",$G$9="missing",$F$16="missing",$G$16="missing"),"missing",($F$9-$F$16)^2+($G$9-$G$16)^2)</f>
        <v>4</v>
      </c>
      <c r="L9" s="11">
        <v>4</v>
      </c>
      <c r="M9" s="9">
        <f t="shared" si="0"/>
        <v>0</v>
      </c>
    </row>
    <row r="10" spans="1:13" ht="32" customHeight="1">
      <c r="A10" s="12" t="s">
        <v>197</v>
      </c>
      <c r="B10" s="13">
        <v>2</v>
      </c>
      <c r="C10" s="13">
        <v>0</v>
      </c>
      <c r="D10" s="13">
        <v>10</v>
      </c>
      <c r="E10" s="14" t="s">
        <v>115</v>
      </c>
      <c r="F10" s="13">
        <v>0</v>
      </c>
      <c r="G10" s="13">
        <v>0</v>
      </c>
      <c r="H10" s="22">
        <f>IF(OR($F$10="missing",$G$10="missing"),"missing",$F$10^2+$G$10^2)</f>
        <v>0</v>
      </c>
      <c r="I10" s="2"/>
      <c r="J10" s="8" t="s">
        <v>200</v>
      </c>
      <c r="K10" s="10">
        <f>IF(OR($F$10="missing",$G$10="missing",$F$17="missing",$G$17="missing"),"missing",($F$10-$F$17)^2+($G$10-$G$17)^2)</f>
        <v>4</v>
      </c>
      <c r="L10" s="11">
        <v>4</v>
      </c>
      <c r="M10" s="9">
        <f t="shared" si="0"/>
        <v>0</v>
      </c>
    </row>
    <row r="11" spans="1:13" ht="32" customHeight="1">
      <c r="A11" s="12" t="s">
        <v>197</v>
      </c>
      <c r="B11" s="13">
        <v>3</v>
      </c>
      <c r="C11" s="13">
        <v>0</v>
      </c>
      <c r="D11" s="13">
        <v>10</v>
      </c>
      <c r="E11" s="14" t="s">
        <v>115</v>
      </c>
      <c r="F11" s="13">
        <v>3</v>
      </c>
      <c r="G11" s="13">
        <v>-4</v>
      </c>
      <c r="H11" s="22">
        <f>IF(OR($F$11="missing",$G$11="missing"),"missing",$F$11^2+$G$11^2)</f>
        <v>25</v>
      </c>
      <c r="I11" s="2"/>
      <c r="J11" s="8" t="s">
        <v>201</v>
      </c>
      <c r="K11" s="10">
        <f>IF(OR($F$11="missing",$G$11="missing",$F$18="missing",$G$18="missing"),"missing",($F$11-$F$18)^2+($G$11-$G$18)^2)</f>
        <v>25</v>
      </c>
      <c r="L11" s="11">
        <v>25</v>
      </c>
      <c r="M11" s="9">
        <f t="shared" si="0"/>
        <v>0</v>
      </c>
    </row>
    <row r="12" spans="1:13" ht="32" customHeight="1">
      <c r="A12" s="12" t="s">
        <v>197</v>
      </c>
      <c r="B12" s="13">
        <v>4</v>
      </c>
      <c r="C12" s="13">
        <v>0</v>
      </c>
      <c r="D12" s="13">
        <v>10</v>
      </c>
      <c r="E12" s="14" t="s">
        <v>115</v>
      </c>
      <c r="F12" s="13" t="s">
        <v>168</v>
      </c>
      <c r="G12" s="13" t="s">
        <v>168</v>
      </c>
      <c r="H12" s="22" t="str">
        <f>IF(OR($F$12="missing",$G$12="missing"),"missing",$F$12^2+$G$12^2)</f>
        <v>missing</v>
      </c>
      <c r="I12" s="2"/>
      <c r="J12" s="8" t="s">
        <v>202</v>
      </c>
      <c r="K12" s="10" t="str">
        <f>IF(OR($F$12="missing",$G$12="missing",$F$19="missing",$G$19="missing"),"missing",($F$12-$F$19)^2+($G$12-$G$19)^2)</f>
        <v>missing</v>
      </c>
      <c r="L12" s="11" t="s">
        <v>168</v>
      </c>
      <c r="M12" s="9" t="str">
        <f t="shared" si="0"/>
        <v>n/a</v>
      </c>
    </row>
    <row r="13" spans="1:13" ht="32" customHeight="1">
      <c r="A13" s="12" t="s">
        <v>197</v>
      </c>
      <c r="B13" s="13">
        <v>5</v>
      </c>
      <c r="C13" s="13">
        <v>0</v>
      </c>
      <c r="D13" s="13">
        <v>10</v>
      </c>
      <c r="E13" s="14" t="s">
        <v>115</v>
      </c>
      <c r="F13" s="13">
        <v>-2</v>
      </c>
      <c r="G13" s="13">
        <v>2</v>
      </c>
      <c r="H13" s="22">
        <f>IF(OR($F$13="missing",$G$13="missing"),"missing",$F$13^2+$G$13^2)</f>
        <v>8</v>
      </c>
      <c r="I13" s="2"/>
      <c r="J13" s="8" t="s">
        <v>203</v>
      </c>
      <c r="K13" s="10">
        <f>IF(OR($F$13="missing",$G$13="missing",$F$20="missing",$G$20="missing"),"missing",($F$13-$F$20)^2+($G$13-$G$20)^2)</f>
        <v>32</v>
      </c>
      <c r="L13" s="11">
        <v>32</v>
      </c>
      <c r="M13" s="9">
        <f t="shared" si="0"/>
        <v>0</v>
      </c>
    </row>
    <row r="14" spans="1:13" ht="32" customHeight="1">
      <c r="A14" s="12" t="s">
        <v>197</v>
      </c>
      <c r="B14" s="13">
        <v>6</v>
      </c>
      <c r="C14" s="13">
        <v>0</v>
      </c>
      <c r="D14" s="13">
        <v>10</v>
      </c>
      <c r="E14" s="14" t="s">
        <v>115</v>
      </c>
      <c r="F14" s="19">
        <v>1.0000000000000001E-5</v>
      </c>
      <c r="G14" s="19">
        <v>2.0000000000000002E-5</v>
      </c>
      <c r="H14" s="27">
        <f>IF(OR($F$14="missing",$G$14="missing"),"missing",$F$14^2+$G$14^2)</f>
        <v>5.0000000000000013E-10</v>
      </c>
      <c r="I14" s="2"/>
      <c r="J14" s="8" t="s">
        <v>204</v>
      </c>
      <c r="K14" s="17">
        <f>IF(OR($F$14="missing",$G$14="missing",$F$21="missing",$G$21="missing"),"missing",($F$14-$F$21)^2+($G$14-$G$21)^2)</f>
        <v>1.6000000000000003E-9</v>
      </c>
      <c r="L14" s="18">
        <v>1.6000000000000003E-9</v>
      </c>
      <c r="M14" s="9">
        <f t="shared" si="0"/>
        <v>0</v>
      </c>
    </row>
    <row r="15" spans="1:13" ht="32" customHeight="1">
      <c r="A15" s="12" t="s">
        <v>205</v>
      </c>
      <c r="B15" s="13">
        <v>0</v>
      </c>
      <c r="C15" s="13">
        <v>0</v>
      </c>
      <c r="D15" s="13">
        <v>10</v>
      </c>
      <c r="E15" s="14" t="s">
        <v>115</v>
      </c>
      <c r="F15" s="13">
        <v>3</v>
      </c>
      <c r="G15" s="13">
        <v>-1</v>
      </c>
      <c r="H15" s="22">
        <f>IF(OR($F$15="missing",$G$15="missing"),"missing",$F$15^2+$G$15^2)</f>
        <v>10</v>
      </c>
      <c r="I15" s="2"/>
      <c r="J15" s="8" t="s">
        <v>206</v>
      </c>
      <c r="K15" s="10">
        <f>IF(OR($F$8="missing",$G$8="missing",$F$15="missing",$G$15="missing"),"missing",$F$8-$F$15)</f>
        <v>-2</v>
      </c>
      <c r="L15" s="11">
        <v>-1.9999999999999991</v>
      </c>
      <c r="M15" s="9">
        <f t="shared" si="0"/>
        <v>4.4408920985006262E-16</v>
      </c>
    </row>
    <row r="16" spans="1:13" ht="32" customHeight="1">
      <c r="A16" s="12" t="s">
        <v>205</v>
      </c>
      <c r="B16" s="13">
        <v>1</v>
      </c>
      <c r="C16" s="13">
        <v>0</v>
      </c>
      <c r="D16" s="13">
        <v>10</v>
      </c>
      <c r="E16" s="14" t="s">
        <v>115</v>
      </c>
      <c r="F16" s="13">
        <v>-1</v>
      </c>
      <c r="G16" s="13">
        <v>0</v>
      </c>
      <c r="H16" s="22">
        <f>IF(OR($F$16="missing",$G$16="missing"),"missing",$F$16^2+$G$16^2)</f>
        <v>1</v>
      </c>
      <c r="I16" s="2"/>
      <c r="J16" s="8" t="s">
        <v>207</v>
      </c>
      <c r="K16" s="10">
        <f>IF(OR($F$8="missing",$G$8="missing",$F$15="missing",$G$15="missing"),"missing",$G$8-$G$15)</f>
        <v>3</v>
      </c>
      <c r="L16" s="11">
        <v>3.0000000000000004</v>
      </c>
      <c r="M16" s="9">
        <f t="shared" si="0"/>
        <v>1.4802973661668753E-16</v>
      </c>
    </row>
    <row r="17" spans="1:13" ht="27" customHeight="1">
      <c r="A17" s="12" t="s">
        <v>205</v>
      </c>
      <c r="B17" s="13">
        <v>2</v>
      </c>
      <c r="C17" s="13">
        <v>0</v>
      </c>
      <c r="D17" s="13">
        <v>10</v>
      </c>
      <c r="E17" s="14" t="s">
        <v>115</v>
      </c>
      <c r="F17" s="13">
        <v>0</v>
      </c>
      <c r="G17" s="13">
        <v>2</v>
      </c>
      <c r="H17" s="22">
        <f>IF(OR($F$17="missing",$G$17="missing"),"missing",$F$17^2+$G$17^2)</f>
        <v>4</v>
      </c>
      <c r="I17" s="2"/>
      <c r="J17" s="2"/>
      <c r="K17" s="2"/>
      <c r="L17" s="2"/>
      <c r="M17" s="2"/>
    </row>
    <row r="18" spans="1:13" ht="27" customHeight="1">
      <c r="A18" s="12" t="s">
        <v>205</v>
      </c>
      <c r="B18" s="13">
        <v>3</v>
      </c>
      <c r="C18" s="13">
        <v>0</v>
      </c>
      <c r="D18" s="13">
        <v>10</v>
      </c>
      <c r="E18" s="14" t="s">
        <v>115</v>
      </c>
      <c r="F18" s="13">
        <v>0</v>
      </c>
      <c r="G18" s="13">
        <v>0</v>
      </c>
      <c r="H18" s="22">
        <f>IF(OR($F$18="missing",$G$18="missing"),"missing",$F$18^2+$G$18^2)</f>
        <v>0</v>
      </c>
      <c r="I18" s="2"/>
      <c r="J18" s="2"/>
      <c r="K18" s="2"/>
      <c r="L18" s="2"/>
      <c r="M18" s="2"/>
    </row>
    <row r="19" spans="1:13" ht="27" customHeight="1">
      <c r="A19" s="12" t="s">
        <v>205</v>
      </c>
      <c r="B19" s="13">
        <v>4</v>
      </c>
      <c r="C19" s="13">
        <v>0</v>
      </c>
      <c r="D19" s="13">
        <v>10</v>
      </c>
      <c r="E19" s="14" t="s">
        <v>115</v>
      </c>
      <c r="F19" s="13">
        <v>1</v>
      </c>
      <c r="G19" s="13">
        <v>1</v>
      </c>
      <c r="H19" s="22">
        <f>IF(OR($F$19="missing",$G$19="missing"),"missing",$F$19^2+$G$19^2)</f>
        <v>2</v>
      </c>
      <c r="I19" s="2"/>
      <c r="J19" s="2"/>
      <c r="K19" s="2"/>
      <c r="L19" s="2"/>
      <c r="M19" s="2"/>
    </row>
    <row r="20" spans="1:13" ht="27" customHeight="1">
      <c r="A20" s="12" t="s">
        <v>205</v>
      </c>
      <c r="B20" s="13">
        <v>5</v>
      </c>
      <c r="C20" s="13">
        <v>0</v>
      </c>
      <c r="D20" s="13">
        <v>10</v>
      </c>
      <c r="E20" s="14" t="s">
        <v>115</v>
      </c>
      <c r="F20" s="13">
        <v>2</v>
      </c>
      <c r="G20" s="13">
        <v>-2</v>
      </c>
      <c r="H20" s="22">
        <f>IF(OR($F$20="missing",$G$20="missing"),"missing",$F$20^2+$G$20^2)</f>
        <v>8</v>
      </c>
      <c r="I20" s="2"/>
      <c r="J20" s="2"/>
      <c r="K20" s="2"/>
      <c r="L20" s="2"/>
      <c r="M20" s="2"/>
    </row>
    <row r="21" spans="1:13" ht="27" customHeight="1">
      <c r="A21" s="12" t="s">
        <v>205</v>
      </c>
      <c r="B21" s="13">
        <v>6</v>
      </c>
      <c r="C21" s="13">
        <v>0</v>
      </c>
      <c r="D21" s="13">
        <v>10</v>
      </c>
      <c r="E21" s="14" t="s">
        <v>115</v>
      </c>
      <c r="F21" s="19">
        <v>1.0000000000000001E-5</v>
      </c>
      <c r="G21" s="19">
        <v>-2.0000000000000002E-5</v>
      </c>
      <c r="H21" s="27">
        <f>IF(OR($F$21="missing",$G$21="missing"),"missing",$F$21^2+$G$21^2)</f>
        <v>5.0000000000000013E-10</v>
      </c>
      <c r="I21" s="2"/>
      <c r="J21" s="2"/>
      <c r="K21" s="2"/>
      <c r="L21" s="2"/>
      <c r="M21" s="2"/>
    </row>
    <row r="22" spans="1:13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7" customHeight="1">
      <c r="A27" s="2" t="s">
        <v>208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7" customHeight="1">
      <c r="A29" s="4" t="s">
        <v>122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2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2" customWidth="1"/>
    <col min="8" max="8" width="14" customWidth="1"/>
    <col min="9" max="9" width="3" customWidth="1"/>
    <col min="10" max="10" width="31" customWidth="1"/>
    <col min="11" max="12" width="17" customWidth="1"/>
    <col min="13" max="13" width="15" customWidth="1"/>
  </cols>
  <sheetData>
    <row r="1" spans="1:13" ht="35" customHeight="1">
      <c r="A1" s="3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192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193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/>
      <c r="J6" s="5" t="s">
        <v>102</v>
      </c>
      <c r="K6" s="5"/>
      <c r="L6" s="5"/>
      <c r="M6" s="5"/>
    </row>
    <row r="7" spans="1:13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194</v>
      </c>
      <c r="G7" s="6" t="s">
        <v>195</v>
      </c>
      <c r="H7" s="6" t="s">
        <v>196</v>
      </c>
      <c r="I7" s="2"/>
      <c r="J7" s="6" t="s">
        <v>110</v>
      </c>
      <c r="K7" s="6" t="s">
        <v>111</v>
      </c>
      <c r="L7" s="6" t="s">
        <v>112</v>
      </c>
      <c r="M7" s="6" t="s">
        <v>113</v>
      </c>
    </row>
    <row r="8" spans="1:13" ht="32" customHeight="1">
      <c r="A8" s="12" t="s">
        <v>197</v>
      </c>
      <c r="B8" s="13">
        <v>0</v>
      </c>
      <c r="C8" s="13">
        <v>0</v>
      </c>
      <c r="D8" s="13">
        <v>10</v>
      </c>
      <c r="E8" s="14" t="s">
        <v>115</v>
      </c>
      <c r="F8" s="13">
        <v>1</v>
      </c>
      <c r="G8" s="13">
        <v>2</v>
      </c>
      <c r="H8" s="22">
        <f>IF(OR($F$8="missing",$G$8="missing"),"missing",$F$8^2+$G$8^2)</f>
        <v>5</v>
      </c>
      <c r="I8" s="2"/>
      <c r="J8" s="8" t="s">
        <v>198</v>
      </c>
      <c r="K8" s="10">
        <f>IF(OR($F$8="missing",$G$8="missing",$F$15="missing",$G$15="missing"),"missing",($F$8+$F$15)^2+($G$8+$G$15)^2)</f>
        <v>17</v>
      </c>
      <c r="L8" s="11">
        <v>17</v>
      </c>
      <c r="M8" s="9">
        <f t="shared" ref="M8:M16" si="0">IF(AND(ISNUMBER(K8),ISNUMBER(L8)),IF(SIGN(K8)=0,"n/a (zero)",ABS(L8-K8)/ABS(K8)),IF(ISBLANK(L8),"missing export",IF(ISBLANK(K8),"missing input","n/a")))</f>
        <v>0</v>
      </c>
    </row>
    <row r="9" spans="1:13" ht="32" customHeight="1">
      <c r="A9" s="12" t="s">
        <v>197</v>
      </c>
      <c r="B9" s="13">
        <v>1</v>
      </c>
      <c r="C9" s="13">
        <v>0</v>
      </c>
      <c r="D9" s="13">
        <v>10</v>
      </c>
      <c r="E9" s="14" t="s">
        <v>115</v>
      </c>
      <c r="F9" s="13">
        <v>1</v>
      </c>
      <c r="G9" s="13">
        <v>0</v>
      </c>
      <c r="H9" s="22">
        <f>IF(OR($F$9="missing",$G$9="missing"),"missing",$F$9^2+$G$9^2)</f>
        <v>1</v>
      </c>
      <c r="I9" s="2"/>
      <c r="J9" s="8" t="s">
        <v>199</v>
      </c>
      <c r="K9" s="10">
        <f>IF(OR($F$9="missing",$G$9="missing",$F$16="missing",$G$16="missing"),"missing",($F$9+$F$16)^2+($G$9+$G$16)^2)</f>
        <v>0</v>
      </c>
      <c r="L9" s="11">
        <v>0</v>
      </c>
      <c r="M9" s="9" t="str">
        <f t="shared" si="0"/>
        <v>n/a (zero)</v>
      </c>
    </row>
    <row r="10" spans="1:13" ht="32" customHeight="1">
      <c r="A10" s="12" t="s">
        <v>197</v>
      </c>
      <c r="B10" s="13">
        <v>2</v>
      </c>
      <c r="C10" s="13">
        <v>0</v>
      </c>
      <c r="D10" s="13">
        <v>10</v>
      </c>
      <c r="E10" s="14" t="s">
        <v>115</v>
      </c>
      <c r="F10" s="13">
        <v>0</v>
      </c>
      <c r="G10" s="13">
        <v>0</v>
      </c>
      <c r="H10" s="22">
        <f>IF(OR($F$10="missing",$G$10="missing"),"missing",$F$10^2+$G$10^2)</f>
        <v>0</v>
      </c>
      <c r="I10" s="2"/>
      <c r="J10" s="8" t="s">
        <v>200</v>
      </c>
      <c r="K10" s="10">
        <f>IF(OR($F$10="missing",$G$10="missing",$F$17="missing",$G$17="missing"),"missing",($F$10+$F$17)^2+($G$10+$G$17)^2)</f>
        <v>4</v>
      </c>
      <c r="L10" s="11">
        <v>4</v>
      </c>
      <c r="M10" s="9">
        <f t="shared" si="0"/>
        <v>0</v>
      </c>
    </row>
    <row r="11" spans="1:13" ht="32" customHeight="1">
      <c r="A11" s="12" t="s">
        <v>197</v>
      </c>
      <c r="B11" s="13">
        <v>3</v>
      </c>
      <c r="C11" s="13">
        <v>0</v>
      </c>
      <c r="D11" s="13">
        <v>10</v>
      </c>
      <c r="E11" s="14" t="s">
        <v>115</v>
      </c>
      <c r="F11" s="13">
        <v>3</v>
      </c>
      <c r="G11" s="13">
        <v>-4</v>
      </c>
      <c r="H11" s="22">
        <f>IF(OR($F$11="missing",$G$11="missing"),"missing",$F$11^2+$G$11^2)</f>
        <v>25</v>
      </c>
      <c r="I11" s="2"/>
      <c r="J11" s="8" t="s">
        <v>201</v>
      </c>
      <c r="K11" s="10">
        <f>IF(OR($F$11="missing",$G$11="missing",$F$18="missing",$G$18="missing"),"missing",($F$11+$F$18)^2+($G$11+$G$18)^2)</f>
        <v>25</v>
      </c>
      <c r="L11" s="11">
        <v>25</v>
      </c>
      <c r="M11" s="9">
        <f t="shared" si="0"/>
        <v>0</v>
      </c>
    </row>
    <row r="12" spans="1:13" ht="32" customHeight="1">
      <c r="A12" s="12" t="s">
        <v>197</v>
      </c>
      <c r="B12" s="13">
        <v>4</v>
      </c>
      <c r="C12" s="13">
        <v>0</v>
      </c>
      <c r="D12" s="13">
        <v>10</v>
      </c>
      <c r="E12" s="14" t="s">
        <v>115</v>
      </c>
      <c r="F12" s="13" t="s">
        <v>168</v>
      </c>
      <c r="G12" s="13" t="s">
        <v>168</v>
      </c>
      <c r="H12" s="22" t="str">
        <f>IF(OR($F$12="missing",$G$12="missing"),"missing",$F$12^2+$G$12^2)</f>
        <v>missing</v>
      </c>
      <c r="I12" s="2"/>
      <c r="J12" s="8" t="s">
        <v>202</v>
      </c>
      <c r="K12" s="10" t="str">
        <f>IF(OR($F$12="missing",$G$12="missing",$F$19="missing",$G$19="missing"),"missing",($F$12+$F$19)^2+($G$12+$G$19)^2)</f>
        <v>missing</v>
      </c>
      <c r="L12" s="11" t="s">
        <v>168</v>
      </c>
      <c r="M12" s="9" t="str">
        <f t="shared" si="0"/>
        <v>n/a</v>
      </c>
    </row>
    <row r="13" spans="1:13" ht="32" customHeight="1">
      <c r="A13" s="12" t="s">
        <v>197</v>
      </c>
      <c r="B13" s="13">
        <v>5</v>
      </c>
      <c r="C13" s="13">
        <v>0</v>
      </c>
      <c r="D13" s="13">
        <v>10</v>
      </c>
      <c r="E13" s="14" t="s">
        <v>115</v>
      </c>
      <c r="F13" s="13">
        <v>-2</v>
      </c>
      <c r="G13" s="13">
        <v>2</v>
      </c>
      <c r="H13" s="22">
        <f>IF(OR($F$13="missing",$G$13="missing"),"missing",$F$13^2+$G$13^2)</f>
        <v>8</v>
      </c>
      <c r="I13" s="2"/>
      <c r="J13" s="8" t="s">
        <v>203</v>
      </c>
      <c r="K13" s="10">
        <f>IF(OR($F$13="missing",$G$13="missing",$F$20="missing",$G$20="missing"),"missing",($F$13+$F$20)^2+($G$13+$G$20)^2)</f>
        <v>0</v>
      </c>
      <c r="L13" s="11">
        <v>0</v>
      </c>
      <c r="M13" s="9" t="str">
        <f t="shared" si="0"/>
        <v>n/a (zero)</v>
      </c>
    </row>
    <row r="14" spans="1:13" ht="32" customHeight="1">
      <c r="A14" s="12" t="s">
        <v>197</v>
      </c>
      <c r="B14" s="13">
        <v>6</v>
      </c>
      <c r="C14" s="13">
        <v>0</v>
      </c>
      <c r="D14" s="13">
        <v>10</v>
      </c>
      <c r="E14" s="14" t="s">
        <v>115</v>
      </c>
      <c r="F14" s="19">
        <v>1.0000000000000001E-5</v>
      </c>
      <c r="G14" s="19">
        <v>2.0000000000000002E-5</v>
      </c>
      <c r="H14" s="27">
        <f>IF(OR($F$14="missing",$G$14="missing"),"missing",$F$14^2+$G$14^2)</f>
        <v>5.0000000000000013E-10</v>
      </c>
      <c r="I14" s="2"/>
      <c r="J14" s="8" t="s">
        <v>204</v>
      </c>
      <c r="K14" s="17">
        <f>IF(OR($F$14="missing",$G$14="missing",$F$21="missing",$G$21="missing"),"missing",($F$14+$F$21)^2+($G$14+$G$21)^2)</f>
        <v>4.0000000000000007E-10</v>
      </c>
      <c r="L14" s="18">
        <v>4.0000000000000007E-10</v>
      </c>
      <c r="M14" s="9">
        <f t="shared" si="0"/>
        <v>0</v>
      </c>
    </row>
    <row r="15" spans="1:13" ht="32" customHeight="1">
      <c r="A15" s="12" t="s">
        <v>205</v>
      </c>
      <c r="B15" s="13">
        <v>0</v>
      </c>
      <c r="C15" s="13">
        <v>0</v>
      </c>
      <c r="D15" s="13">
        <v>10</v>
      </c>
      <c r="E15" s="14" t="s">
        <v>115</v>
      </c>
      <c r="F15" s="13">
        <v>3</v>
      </c>
      <c r="G15" s="13">
        <v>-1</v>
      </c>
      <c r="H15" s="22">
        <f>IF(OR($F$15="missing",$G$15="missing"),"missing",$F$15^2+$G$15^2)</f>
        <v>10</v>
      </c>
      <c r="I15" s="2"/>
      <c r="J15" s="8" t="s">
        <v>206</v>
      </c>
      <c r="K15" s="10">
        <f>IF(OR($F$8="missing",$G$8="missing",$F$15="missing",$G$15="missing"),"missing",$F$8+$F$15)</f>
        <v>4</v>
      </c>
      <c r="L15" s="11">
        <v>4</v>
      </c>
      <c r="M15" s="9">
        <f t="shared" si="0"/>
        <v>0</v>
      </c>
    </row>
    <row r="16" spans="1:13" ht="32" customHeight="1">
      <c r="A16" s="12" t="s">
        <v>205</v>
      </c>
      <c r="B16" s="13">
        <v>1</v>
      </c>
      <c r="C16" s="13">
        <v>0</v>
      </c>
      <c r="D16" s="13">
        <v>10</v>
      </c>
      <c r="E16" s="14" t="s">
        <v>115</v>
      </c>
      <c r="F16" s="13">
        <v>-1</v>
      </c>
      <c r="G16" s="13">
        <v>0</v>
      </c>
      <c r="H16" s="22">
        <f>IF(OR($F$16="missing",$G$16="missing"),"missing",$F$16^2+$G$16^2)</f>
        <v>1</v>
      </c>
      <c r="I16" s="2"/>
      <c r="J16" s="8" t="s">
        <v>207</v>
      </c>
      <c r="K16" s="10">
        <f>IF(OR($F$8="missing",$G$8="missing",$F$15="missing",$G$15="missing"),"missing",$G$8+$G$15)</f>
        <v>1</v>
      </c>
      <c r="L16" s="11">
        <v>1.0000000000000004</v>
      </c>
      <c r="M16" s="9">
        <f t="shared" si="0"/>
        <v>4.4408920985006262E-16</v>
      </c>
    </row>
    <row r="17" spans="1:13" ht="27" customHeight="1">
      <c r="A17" s="12" t="s">
        <v>205</v>
      </c>
      <c r="B17" s="13">
        <v>2</v>
      </c>
      <c r="C17" s="13">
        <v>0</v>
      </c>
      <c r="D17" s="13">
        <v>10</v>
      </c>
      <c r="E17" s="14" t="s">
        <v>115</v>
      </c>
      <c r="F17" s="13">
        <v>0</v>
      </c>
      <c r="G17" s="13">
        <v>2</v>
      </c>
      <c r="H17" s="22">
        <f>IF(OR($F$17="missing",$G$17="missing"),"missing",$F$17^2+$G$17^2)</f>
        <v>4</v>
      </c>
      <c r="I17" s="2"/>
      <c r="J17" s="2"/>
      <c r="K17" s="2"/>
      <c r="L17" s="2"/>
      <c r="M17" s="2"/>
    </row>
    <row r="18" spans="1:13" ht="27" customHeight="1">
      <c r="A18" s="12" t="s">
        <v>205</v>
      </c>
      <c r="B18" s="13">
        <v>3</v>
      </c>
      <c r="C18" s="13">
        <v>0</v>
      </c>
      <c r="D18" s="13">
        <v>10</v>
      </c>
      <c r="E18" s="14" t="s">
        <v>115</v>
      </c>
      <c r="F18" s="13">
        <v>0</v>
      </c>
      <c r="G18" s="13">
        <v>0</v>
      </c>
      <c r="H18" s="22">
        <f>IF(OR($F$18="missing",$G$18="missing"),"missing",$F$18^2+$G$18^2)</f>
        <v>0</v>
      </c>
      <c r="I18" s="2"/>
      <c r="J18" s="2"/>
      <c r="K18" s="2"/>
      <c r="L18" s="2"/>
      <c r="M18" s="2"/>
    </row>
    <row r="19" spans="1:13" ht="27" customHeight="1">
      <c r="A19" s="12" t="s">
        <v>205</v>
      </c>
      <c r="B19" s="13">
        <v>4</v>
      </c>
      <c r="C19" s="13">
        <v>0</v>
      </c>
      <c r="D19" s="13">
        <v>10</v>
      </c>
      <c r="E19" s="14" t="s">
        <v>115</v>
      </c>
      <c r="F19" s="13">
        <v>1</v>
      </c>
      <c r="G19" s="13">
        <v>1</v>
      </c>
      <c r="H19" s="22">
        <f>IF(OR($F$19="missing",$G$19="missing"),"missing",$F$19^2+$G$19^2)</f>
        <v>2</v>
      </c>
      <c r="I19" s="2"/>
      <c r="J19" s="2"/>
      <c r="K19" s="2"/>
      <c r="L19" s="2"/>
      <c r="M19" s="2"/>
    </row>
    <row r="20" spans="1:13" ht="27" customHeight="1">
      <c r="A20" s="12" t="s">
        <v>205</v>
      </c>
      <c r="B20" s="13">
        <v>5</v>
      </c>
      <c r="C20" s="13">
        <v>0</v>
      </c>
      <c r="D20" s="13">
        <v>10</v>
      </c>
      <c r="E20" s="14" t="s">
        <v>115</v>
      </c>
      <c r="F20" s="13">
        <v>2</v>
      </c>
      <c r="G20" s="13">
        <v>-2</v>
      </c>
      <c r="H20" s="22">
        <f>IF(OR($F$20="missing",$G$20="missing"),"missing",$F$20^2+$G$20^2)</f>
        <v>8</v>
      </c>
      <c r="I20" s="2"/>
      <c r="J20" s="2"/>
      <c r="K20" s="2"/>
      <c r="L20" s="2"/>
      <c r="M20" s="2"/>
    </row>
    <row r="21" spans="1:13" ht="27" customHeight="1">
      <c r="A21" s="12" t="s">
        <v>205</v>
      </c>
      <c r="B21" s="13">
        <v>6</v>
      </c>
      <c r="C21" s="13">
        <v>0</v>
      </c>
      <c r="D21" s="13">
        <v>10</v>
      </c>
      <c r="E21" s="14" t="s">
        <v>115</v>
      </c>
      <c r="F21" s="19">
        <v>1.0000000000000001E-5</v>
      </c>
      <c r="G21" s="19">
        <v>-2.0000000000000002E-5</v>
      </c>
      <c r="H21" s="27">
        <f>IF(OR($F$21="missing",$G$21="missing"),"missing",$F$21^2+$G$21^2)</f>
        <v>5.0000000000000013E-10</v>
      </c>
      <c r="I21" s="2"/>
      <c r="J21" s="2"/>
      <c r="K21" s="2"/>
      <c r="L21" s="2"/>
      <c r="M21" s="2"/>
    </row>
    <row r="22" spans="1:13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7" customHeight="1">
      <c r="A27" s="2" t="s">
        <v>209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7" customHeight="1">
      <c r="A29" s="4" t="s">
        <v>122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2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1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2" customWidth="1"/>
    <col min="8" max="8" width="14" customWidth="1"/>
    <col min="9" max="9" width="3" customWidth="1"/>
    <col min="10" max="10" width="31" customWidth="1"/>
    <col min="11" max="12" width="17" customWidth="1"/>
    <col min="13" max="13" width="15" customWidth="1"/>
  </cols>
  <sheetData>
    <row r="1" spans="1:13" ht="35" customHeight="1">
      <c r="A1" s="3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192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193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/>
      <c r="J6" s="5" t="s">
        <v>102</v>
      </c>
      <c r="K6" s="5"/>
      <c r="L6" s="5"/>
      <c r="M6" s="5"/>
    </row>
    <row r="7" spans="1:13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194</v>
      </c>
      <c r="G7" s="6" t="s">
        <v>195</v>
      </c>
      <c r="H7" s="6" t="s">
        <v>196</v>
      </c>
      <c r="I7" s="2"/>
      <c r="J7" s="6" t="s">
        <v>110</v>
      </c>
      <c r="K7" s="6" t="s">
        <v>111</v>
      </c>
      <c r="L7" s="6" t="s">
        <v>112</v>
      </c>
      <c r="M7" s="6" t="s">
        <v>113</v>
      </c>
    </row>
    <row r="8" spans="1:13" ht="32" customHeight="1">
      <c r="A8" s="12" t="s">
        <v>197</v>
      </c>
      <c r="B8" s="13">
        <v>0</v>
      </c>
      <c r="C8" s="13">
        <v>0</v>
      </c>
      <c r="D8" s="13">
        <v>10</v>
      </c>
      <c r="E8" s="14" t="s">
        <v>115</v>
      </c>
      <c r="F8" s="13">
        <v>1</v>
      </c>
      <c r="G8" s="13">
        <v>2</v>
      </c>
      <c r="H8" s="22">
        <f>IF(OR($F$8="missing",$G$8="missing"),"missing",$F$8^2+$G$8^2)</f>
        <v>5</v>
      </c>
      <c r="I8" s="2"/>
      <c r="J8" s="8" t="s">
        <v>210</v>
      </c>
      <c r="K8" s="10">
        <f>IF(OR($F$8="missing",$G$8="missing",$F$15="missing",$G$15="missing"),"missing",IF($F$15^2+$G$15^2=0,"missing",($F$8^2+$G$8^2)/($F$15^2+$G$15^2)))</f>
        <v>0.5</v>
      </c>
      <c r="L8" s="11">
        <v>0.50000000000000011</v>
      </c>
      <c r="M8" s="9">
        <f t="shared" ref="M8:M16" si="0">IF(AND(ISNUMBER(K8),ISNUMBER(L8)),IF(SIGN(K8)=0,"n/a (zero)",ABS(L8-K8)/ABS(K8)),IF(ISBLANK(L8),"missing export",IF(ISBLANK(K8),"missing input","n/a")))</f>
        <v>2.2204460492503131E-16</v>
      </c>
    </row>
    <row r="9" spans="1:13" ht="32" customHeight="1">
      <c r="A9" s="12" t="s">
        <v>197</v>
      </c>
      <c r="B9" s="13">
        <v>1</v>
      </c>
      <c r="C9" s="13">
        <v>0</v>
      </c>
      <c r="D9" s="13">
        <v>10</v>
      </c>
      <c r="E9" s="14" t="s">
        <v>115</v>
      </c>
      <c r="F9" s="13">
        <v>1</v>
      </c>
      <c r="G9" s="13">
        <v>0</v>
      </c>
      <c r="H9" s="22">
        <f>IF(OR($F$9="missing",$G$9="missing"),"missing",$F$9^2+$G$9^2)</f>
        <v>1</v>
      </c>
      <c r="I9" s="2"/>
      <c r="J9" s="8" t="s">
        <v>211</v>
      </c>
      <c r="K9" s="10">
        <f>IF(OR($F$9="missing",$G$9="missing",$F$16="missing",$G$16="missing"),"missing",IF($F$16^2+$G$16^2=0,"missing",($F$9^2+$G$9^2)/($F$16^2+$G$16^2)))</f>
        <v>1</v>
      </c>
      <c r="L9" s="11">
        <v>1</v>
      </c>
      <c r="M9" s="9">
        <f t="shared" si="0"/>
        <v>0</v>
      </c>
    </row>
    <row r="10" spans="1:13" ht="32" customHeight="1">
      <c r="A10" s="12" t="s">
        <v>197</v>
      </c>
      <c r="B10" s="13">
        <v>2</v>
      </c>
      <c r="C10" s="13">
        <v>0</v>
      </c>
      <c r="D10" s="13">
        <v>10</v>
      </c>
      <c r="E10" s="14" t="s">
        <v>115</v>
      </c>
      <c r="F10" s="13">
        <v>0</v>
      </c>
      <c r="G10" s="13">
        <v>0</v>
      </c>
      <c r="H10" s="22">
        <f>IF(OR($F$10="missing",$G$10="missing"),"missing",$F$10^2+$G$10^2)</f>
        <v>0</v>
      </c>
      <c r="I10" s="2"/>
      <c r="J10" s="8" t="s">
        <v>212</v>
      </c>
      <c r="K10" s="10">
        <f>IF(OR($F$10="missing",$G$10="missing",$F$17="missing",$G$17="missing"),"missing",IF($F$17^2+$G$17^2=0,"missing",($F$10^2+$G$10^2)/($F$17^2+$G$17^2)))</f>
        <v>0</v>
      </c>
      <c r="L10" s="11">
        <v>0</v>
      </c>
      <c r="M10" s="9" t="str">
        <f t="shared" si="0"/>
        <v>n/a (zero)</v>
      </c>
    </row>
    <row r="11" spans="1:13" ht="32" customHeight="1">
      <c r="A11" s="12" t="s">
        <v>197</v>
      </c>
      <c r="B11" s="13">
        <v>3</v>
      </c>
      <c r="C11" s="13">
        <v>0</v>
      </c>
      <c r="D11" s="13">
        <v>10</v>
      </c>
      <c r="E11" s="14" t="s">
        <v>115</v>
      </c>
      <c r="F11" s="13">
        <v>3</v>
      </c>
      <c r="G11" s="13">
        <v>-4</v>
      </c>
      <c r="H11" s="22">
        <f>IF(OR($F$11="missing",$G$11="missing"),"missing",$F$11^2+$G$11^2)</f>
        <v>25</v>
      </c>
      <c r="I11" s="2"/>
      <c r="J11" s="8" t="s">
        <v>213</v>
      </c>
      <c r="K11" s="10" t="str">
        <f>IF(OR($F$11="missing",$G$11="missing",$F$18="missing",$G$18="missing"),"missing",IF($F$18^2+$G$18^2=0,"missing",($F$11^2+$G$11^2)/($F$18^2+$G$18^2)))</f>
        <v>missing</v>
      </c>
      <c r="L11" s="11" t="s">
        <v>168</v>
      </c>
      <c r="M11" s="9" t="str">
        <f t="shared" si="0"/>
        <v>n/a</v>
      </c>
    </row>
    <row r="12" spans="1:13" ht="32" customHeight="1">
      <c r="A12" s="12" t="s">
        <v>197</v>
      </c>
      <c r="B12" s="13">
        <v>4</v>
      </c>
      <c r="C12" s="13">
        <v>0</v>
      </c>
      <c r="D12" s="13">
        <v>10</v>
      </c>
      <c r="E12" s="14" t="s">
        <v>115</v>
      </c>
      <c r="F12" s="13" t="s">
        <v>168</v>
      </c>
      <c r="G12" s="13" t="s">
        <v>168</v>
      </c>
      <c r="H12" s="22" t="str">
        <f>IF(OR($F$12="missing",$G$12="missing"),"missing",$F$12^2+$G$12^2)</f>
        <v>missing</v>
      </c>
      <c r="I12" s="2"/>
      <c r="J12" s="8" t="s">
        <v>214</v>
      </c>
      <c r="K12" s="10" t="str">
        <f>IF(OR($F$12="missing",$G$12="missing",$F$19="missing",$G$19="missing"),"missing",IF($F$19^2+$G$19^2=0,"missing",($F$12^2+$G$12^2)/($F$19^2+$G$19^2)))</f>
        <v>missing</v>
      </c>
      <c r="L12" s="11" t="s">
        <v>168</v>
      </c>
      <c r="M12" s="9" t="str">
        <f t="shared" si="0"/>
        <v>n/a</v>
      </c>
    </row>
    <row r="13" spans="1:13" ht="32" customHeight="1">
      <c r="A13" s="12" t="s">
        <v>197</v>
      </c>
      <c r="B13" s="13">
        <v>5</v>
      </c>
      <c r="C13" s="13">
        <v>0</v>
      </c>
      <c r="D13" s="13">
        <v>10</v>
      </c>
      <c r="E13" s="14" t="s">
        <v>115</v>
      </c>
      <c r="F13" s="13">
        <v>-2</v>
      </c>
      <c r="G13" s="13">
        <v>2</v>
      </c>
      <c r="H13" s="22">
        <f>IF(OR($F$13="missing",$G$13="missing"),"missing",$F$13^2+$G$13^2)</f>
        <v>8</v>
      </c>
      <c r="I13" s="2"/>
      <c r="J13" s="8" t="s">
        <v>215</v>
      </c>
      <c r="K13" s="10">
        <f>IF(OR($F$13="missing",$G$13="missing",$F$20="missing",$G$20="missing"),"missing",IF($F$20^2+$G$20^2=0,"missing",($F$13^2+$G$13^2)/($F$20^2+$G$20^2)))</f>
        <v>1</v>
      </c>
      <c r="L13" s="11">
        <v>1</v>
      </c>
      <c r="M13" s="9">
        <f t="shared" si="0"/>
        <v>0</v>
      </c>
    </row>
    <row r="14" spans="1:13" ht="32" customHeight="1">
      <c r="A14" s="12" t="s">
        <v>197</v>
      </c>
      <c r="B14" s="13">
        <v>6</v>
      </c>
      <c r="C14" s="13">
        <v>0</v>
      </c>
      <c r="D14" s="13">
        <v>10</v>
      </c>
      <c r="E14" s="14" t="s">
        <v>115</v>
      </c>
      <c r="F14" s="19">
        <v>1.0000000000000001E-5</v>
      </c>
      <c r="G14" s="19">
        <v>2.0000000000000002E-5</v>
      </c>
      <c r="H14" s="27">
        <f>IF(OR($F$14="missing",$G$14="missing"),"missing",$F$14^2+$G$14^2)</f>
        <v>5.0000000000000013E-10</v>
      </c>
      <c r="I14" s="2"/>
      <c r="J14" s="8" t="s">
        <v>216</v>
      </c>
      <c r="K14" s="10">
        <f>IF(OR($F$14="missing",$G$14="missing",$F$21="missing",$G$21="missing"),"missing",IF($F$21^2+$G$21^2=0,"missing",($F$14^2+$G$14^2)/($F$21^2+$G$21^2)))</f>
        <v>1</v>
      </c>
      <c r="L14" s="11">
        <v>1.0000000000000002</v>
      </c>
      <c r="M14" s="9">
        <f t="shared" si="0"/>
        <v>2.2204460492503131E-16</v>
      </c>
    </row>
    <row r="15" spans="1:13" ht="32" customHeight="1">
      <c r="A15" s="12" t="s">
        <v>205</v>
      </c>
      <c r="B15" s="13">
        <v>0</v>
      </c>
      <c r="C15" s="13">
        <v>0</v>
      </c>
      <c r="D15" s="13">
        <v>10</v>
      </c>
      <c r="E15" s="14" t="s">
        <v>115</v>
      </c>
      <c r="F15" s="13">
        <v>3</v>
      </c>
      <c r="G15" s="13">
        <v>-1</v>
      </c>
      <c r="H15" s="22">
        <f>IF(OR($F$15="missing",$G$15="missing"),"missing",$F$15^2+$G$15^2)</f>
        <v>10</v>
      </c>
      <c r="I15" s="2"/>
      <c r="J15" s="8" t="s">
        <v>206</v>
      </c>
      <c r="K15" s="10">
        <f>IF(OR($F$8="missing",$G$8="missing",$F$15="missing",$G$15="missing"),"missing",IF($K$20=0,"missing",($F$8*$F$15+$G$8*$G$15)/$K$20))</f>
        <v>0.1</v>
      </c>
      <c r="L15" s="11">
        <v>9.9999999999999659E-2</v>
      </c>
      <c r="M15" s="9">
        <f t="shared" si="0"/>
        <v>3.4694469519536142E-15</v>
      </c>
    </row>
    <row r="16" spans="1:13" ht="32" customHeight="1">
      <c r="A16" s="12" t="s">
        <v>205</v>
      </c>
      <c r="B16" s="13">
        <v>1</v>
      </c>
      <c r="C16" s="13">
        <v>0</v>
      </c>
      <c r="D16" s="13">
        <v>10</v>
      </c>
      <c r="E16" s="14" t="s">
        <v>115</v>
      </c>
      <c r="F16" s="13">
        <v>-1</v>
      </c>
      <c r="G16" s="13">
        <v>0</v>
      </c>
      <c r="H16" s="22">
        <f>IF(OR($F$16="missing",$G$16="missing"),"missing",$F$16^2+$G$16^2)</f>
        <v>1</v>
      </c>
      <c r="I16" s="2"/>
      <c r="J16" s="8" t="s">
        <v>207</v>
      </c>
      <c r="K16" s="10">
        <f>IF(OR($F$8="missing",$G$8="missing",$F$15="missing",$G$15="missing"),"missing",IF($K$20=0,"missing",($G$8*$F$15-$F$8*$G$15)/$K$20))</f>
        <v>0.7</v>
      </c>
      <c r="L16" s="11">
        <v>0.70000000000000007</v>
      </c>
      <c r="M16" s="9">
        <f t="shared" si="0"/>
        <v>1.5860328923216522E-16</v>
      </c>
    </row>
    <row r="17" spans="1:13" ht="27" customHeight="1">
      <c r="A17" s="12" t="s">
        <v>205</v>
      </c>
      <c r="B17" s="13">
        <v>2</v>
      </c>
      <c r="C17" s="13">
        <v>0</v>
      </c>
      <c r="D17" s="13">
        <v>10</v>
      </c>
      <c r="E17" s="14" t="s">
        <v>115</v>
      </c>
      <c r="F17" s="13">
        <v>0</v>
      </c>
      <c r="G17" s="13">
        <v>2</v>
      </c>
      <c r="H17" s="22">
        <f>IF(OR($F$17="missing",$G$17="missing"),"missing",$F$17^2+$G$17^2)</f>
        <v>4</v>
      </c>
      <c r="I17" s="2"/>
      <c r="J17" s="2"/>
      <c r="K17" s="2"/>
      <c r="L17" s="2"/>
      <c r="M17" s="2"/>
    </row>
    <row r="18" spans="1:13" ht="27" customHeight="1">
      <c r="A18" s="12" t="s">
        <v>205</v>
      </c>
      <c r="B18" s="13">
        <v>3</v>
      </c>
      <c r="C18" s="13">
        <v>0</v>
      </c>
      <c r="D18" s="13">
        <v>10</v>
      </c>
      <c r="E18" s="14" t="s">
        <v>115</v>
      </c>
      <c r="F18" s="13">
        <v>0</v>
      </c>
      <c r="G18" s="13">
        <v>0</v>
      </c>
      <c r="H18" s="22">
        <f>IF(OR($F$18="missing",$G$18="missing"),"missing",$F$18^2+$G$18^2)</f>
        <v>0</v>
      </c>
      <c r="I18" s="2"/>
      <c r="J18" s="2"/>
      <c r="K18" s="2"/>
      <c r="L18" s="2"/>
      <c r="M18" s="2"/>
    </row>
    <row r="19" spans="1:13" ht="27" customHeight="1">
      <c r="A19" s="12" t="s">
        <v>205</v>
      </c>
      <c r="B19" s="13">
        <v>4</v>
      </c>
      <c r="C19" s="13">
        <v>0</v>
      </c>
      <c r="D19" s="13">
        <v>10</v>
      </c>
      <c r="E19" s="14" t="s">
        <v>115</v>
      </c>
      <c r="F19" s="13">
        <v>1</v>
      </c>
      <c r="G19" s="13">
        <v>1</v>
      </c>
      <c r="H19" s="22">
        <f>IF(OR($F$19="missing",$G$19="missing"),"missing",$F$19^2+$G$19^2)</f>
        <v>2</v>
      </c>
      <c r="I19" s="2"/>
      <c r="J19" s="5" t="s">
        <v>147</v>
      </c>
      <c r="K19" s="2"/>
      <c r="L19" s="2"/>
      <c r="M19" s="2"/>
    </row>
    <row r="20" spans="1:13" ht="32" customHeight="1">
      <c r="A20" s="12" t="s">
        <v>205</v>
      </c>
      <c r="B20" s="13">
        <v>5</v>
      </c>
      <c r="C20" s="13">
        <v>0</v>
      </c>
      <c r="D20" s="13">
        <v>10</v>
      </c>
      <c r="E20" s="14" t="s">
        <v>115</v>
      </c>
      <c r="F20" s="13">
        <v>2</v>
      </c>
      <c r="G20" s="13">
        <v>-2</v>
      </c>
      <c r="H20" s="22">
        <f>IF(OR($F$20="missing",$G$20="missing"),"missing",$F$20^2+$G$20^2)</f>
        <v>8</v>
      </c>
      <c r="I20" s="2"/>
      <c r="J20" s="8" t="s">
        <v>217</v>
      </c>
      <c r="K20" s="10">
        <f>IF(OR($F$15="missing",$G$15="missing"),"missing",$F$15^2+$G$15^2)</f>
        <v>10</v>
      </c>
      <c r="L20" s="2"/>
      <c r="M20" s="2"/>
    </row>
    <row r="21" spans="1:13" ht="27" customHeight="1">
      <c r="A21" s="12" t="s">
        <v>205</v>
      </c>
      <c r="B21" s="13">
        <v>6</v>
      </c>
      <c r="C21" s="13">
        <v>0</v>
      </c>
      <c r="D21" s="13">
        <v>10</v>
      </c>
      <c r="E21" s="14" t="s">
        <v>115</v>
      </c>
      <c r="F21" s="19">
        <v>1.0000000000000001E-5</v>
      </c>
      <c r="G21" s="19">
        <v>-2.0000000000000002E-5</v>
      </c>
      <c r="H21" s="27">
        <f>IF(OR($F$21="missing",$G$21="missing"),"missing",$F$21^2+$G$21^2)</f>
        <v>5.0000000000000013E-10</v>
      </c>
      <c r="I21" s="2"/>
      <c r="J21" s="2"/>
      <c r="K21" s="2"/>
      <c r="L21" s="2"/>
      <c r="M21" s="2"/>
    </row>
    <row r="22" spans="1:13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7" customHeight="1">
      <c r="A27" s="2" t="s">
        <v>218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7" customHeight="1">
      <c r="A29" s="4" t="s">
        <v>122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2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3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219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220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3">
        <v>0</v>
      </c>
      <c r="C8" s="13">
        <v>5</v>
      </c>
      <c r="D8" s="13">
        <v>10</v>
      </c>
      <c r="E8" s="14" t="s">
        <v>221</v>
      </c>
      <c r="F8" s="13">
        <v>8</v>
      </c>
      <c r="G8" s="15">
        <v>-59</v>
      </c>
      <c r="H8" s="2"/>
      <c r="I8" s="8" t="s">
        <v>116</v>
      </c>
      <c r="J8" s="10">
        <f>$B$9</f>
        <v>10</v>
      </c>
      <c r="K8" s="11">
        <v>10</v>
      </c>
      <c r="L8" s="9">
        <f t="shared" ref="L8:L13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119</v>
      </c>
      <c r="B9" s="13">
        <v>10</v>
      </c>
      <c r="C9" s="13">
        <v>5</v>
      </c>
      <c r="D9" s="13">
        <v>10</v>
      </c>
      <c r="E9" s="14" t="s">
        <v>221</v>
      </c>
      <c r="F9" s="13">
        <v>16</v>
      </c>
      <c r="G9" s="15">
        <v>45</v>
      </c>
      <c r="H9" s="2"/>
      <c r="I9" s="8" t="s">
        <v>222</v>
      </c>
      <c r="J9" s="10">
        <f>$C$9</f>
        <v>5</v>
      </c>
      <c r="K9" s="11">
        <v>5</v>
      </c>
      <c r="L9" s="9">
        <f t="shared" si="0"/>
        <v>0</v>
      </c>
    </row>
    <row r="10" spans="1:12" ht="32" customHeight="1">
      <c r="A10" s="12" t="s">
        <v>119</v>
      </c>
      <c r="B10" s="13">
        <v>20</v>
      </c>
      <c r="C10" s="13">
        <v>5</v>
      </c>
      <c r="D10" s="13">
        <v>10</v>
      </c>
      <c r="E10" s="14" t="s">
        <v>221</v>
      </c>
      <c r="F10" s="13">
        <v>24</v>
      </c>
      <c r="G10" s="15">
        <v>149</v>
      </c>
      <c r="H10" s="2"/>
      <c r="I10" s="8" t="s">
        <v>223</v>
      </c>
      <c r="J10" s="10">
        <f>$D$9</f>
        <v>10</v>
      </c>
      <c r="K10" s="11">
        <v>10</v>
      </c>
      <c r="L10" s="9">
        <f t="shared" si="0"/>
        <v>0</v>
      </c>
    </row>
    <row r="11" spans="1:12" ht="32" customHeight="1">
      <c r="A11" s="12" t="s">
        <v>119</v>
      </c>
      <c r="B11" s="13">
        <v>30</v>
      </c>
      <c r="C11" s="13">
        <v>5</v>
      </c>
      <c r="D11" s="13">
        <v>10</v>
      </c>
      <c r="E11" s="14" t="s">
        <v>221</v>
      </c>
      <c r="F11" s="13">
        <v>32</v>
      </c>
      <c r="G11" s="15">
        <v>253</v>
      </c>
      <c r="H11" s="2"/>
      <c r="I11" s="8" t="s">
        <v>117</v>
      </c>
      <c r="J11" s="10">
        <f>$F$9</f>
        <v>16</v>
      </c>
      <c r="K11" s="11">
        <v>16.000000000000004</v>
      </c>
      <c r="L11" s="9">
        <f t="shared" si="0"/>
        <v>2.2204460492503131E-16</v>
      </c>
    </row>
    <row r="12" spans="1:12" ht="32" customHeight="1">
      <c r="A12" s="2"/>
      <c r="B12" s="2"/>
      <c r="C12" s="2"/>
      <c r="D12" s="2"/>
      <c r="E12" s="2"/>
      <c r="F12" s="2"/>
      <c r="G12" s="2"/>
      <c r="H12" s="2"/>
      <c r="I12" s="8" t="s">
        <v>118</v>
      </c>
      <c r="J12" s="10">
        <f>$B$11</f>
        <v>30</v>
      </c>
      <c r="K12" s="11">
        <v>30</v>
      </c>
      <c r="L12" s="9">
        <f t="shared" si="0"/>
        <v>0</v>
      </c>
    </row>
    <row r="13" spans="1:12" ht="32" customHeight="1">
      <c r="A13" s="2"/>
      <c r="B13" s="2"/>
      <c r="C13" s="2"/>
      <c r="D13" s="2"/>
      <c r="E13" s="2"/>
      <c r="F13" s="2"/>
      <c r="G13" s="2"/>
      <c r="H13" s="2"/>
      <c r="I13" s="8" t="s">
        <v>120</v>
      </c>
      <c r="J13" s="10">
        <f>$F$11</f>
        <v>32</v>
      </c>
      <c r="K13" s="11">
        <v>32.000000000000007</v>
      </c>
      <c r="L13" s="9">
        <f t="shared" si="0"/>
        <v>2.2204460492503131E-16</v>
      </c>
    </row>
    <row r="14" spans="1:12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7" customHeight="1">
      <c r="A17" s="2" t="s">
        <v>224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4" t="s">
        <v>122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2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1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3" width="11" customWidth="1"/>
    <col min="4" max="4" width="12" customWidth="1"/>
    <col min="5" max="5" width="7" customWidth="1"/>
    <col min="6" max="8" width="14" customWidth="1"/>
    <col min="9" max="9" width="3" customWidth="1"/>
    <col min="10" max="10" width="31" customWidth="1"/>
    <col min="11" max="12" width="17" customWidth="1"/>
    <col min="13" max="13" width="15" customWidth="1"/>
  </cols>
  <sheetData>
    <row r="1" spans="1:13" ht="35" customHeight="1">
      <c r="A1" s="3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226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/>
      <c r="J6" s="5" t="s">
        <v>102</v>
      </c>
      <c r="K6" s="5"/>
      <c r="L6" s="5"/>
      <c r="M6" s="5"/>
    </row>
    <row r="7" spans="1:13" ht="42" customHeight="1">
      <c r="A7" s="6" t="s">
        <v>227</v>
      </c>
      <c r="B7" s="6" t="s">
        <v>104</v>
      </c>
      <c r="C7" s="6" t="s">
        <v>105</v>
      </c>
      <c r="D7" s="6" t="s">
        <v>137</v>
      </c>
      <c r="E7" s="6" t="s">
        <v>107</v>
      </c>
      <c r="F7" s="6" t="s">
        <v>228</v>
      </c>
      <c r="G7" s="6" t="s">
        <v>229</v>
      </c>
      <c r="H7" s="6" t="s">
        <v>109</v>
      </c>
      <c r="I7" s="2"/>
      <c r="J7" s="6" t="s">
        <v>110</v>
      </c>
      <c r="K7" s="6" t="s">
        <v>111</v>
      </c>
      <c r="L7" s="6" t="s">
        <v>112</v>
      </c>
      <c r="M7" s="6" t="s">
        <v>113</v>
      </c>
    </row>
    <row r="8" spans="1:13" ht="32" customHeight="1">
      <c r="A8" s="21">
        <v>0</v>
      </c>
      <c r="B8" s="13">
        <v>0</v>
      </c>
      <c r="C8" s="13">
        <v>0</v>
      </c>
      <c r="D8" s="19">
        <v>8000000000</v>
      </c>
      <c r="E8" s="14" t="s">
        <v>115</v>
      </c>
      <c r="F8" s="13">
        <v>1</v>
      </c>
      <c r="G8" s="16">
        <v>0.01</v>
      </c>
      <c r="H8" s="15">
        <v>20</v>
      </c>
      <c r="I8" s="2"/>
      <c r="J8" s="8" t="s">
        <v>230</v>
      </c>
      <c r="K8" s="10">
        <f>IF($F$8="missing","missing",$F$8*$G$18/(2*$G$17^2*$D$8))</f>
        <v>2.9979245800000002E-3</v>
      </c>
      <c r="L8" s="11">
        <v>2.9979245800000002E-3</v>
      </c>
      <c r="M8" s="9">
        <f t="shared" ref="M8:M17" si="0">IF(AND(ISNUMBER(K8),ISNUMBER(L8)),IF(SIGN(K8)=0,"n/a (zero)",ABS(L8-K8)/ABS(K8)),IF(ISBLANK(L8),"missing export",IF(ISBLANK(K8),"missing input","n/a")))</f>
        <v>0</v>
      </c>
    </row>
    <row r="9" spans="1:13" ht="32" customHeight="1">
      <c r="A9" s="21">
        <v>1</v>
      </c>
      <c r="B9" s="13">
        <v>0</v>
      </c>
      <c r="C9" s="13">
        <v>0</v>
      </c>
      <c r="D9" s="19">
        <v>12000000000</v>
      </c>
      <c r="E9" s="14" t="s">
        <v>115</v>
      </c>
      <c r="F9" s="13">
        <v>4</v>
      </c>
      <c r="G9" s="16">
        <v>0.02</v>
      </c>
      <c r="H9" s="15">
        <v>-40</v>
      </c>
      <c r="I9" s="2"/>
      <c r="J9" s="8" t="s">
        <v>231</v>
      </c>
      <c r="K9" s="10">
        <f>IF($G$8="missing","missing",$G$8*2*$G$17^2*$D$8/$G$18)</f>
        <v>3.3356409519815204</v>
      </c>
      <c r="L9" s="11">
        <v>3.3356409519815209</v>
      </c>
      <c r="M9" s="9">
        <f t="shared" si="0"/>
        <v>1.3313459579222808E-16</v>
      </c>
    </row>
    <row r="10" spans="1:13" ht="32" customHeight="1">
      <c r="A10" s="21">
        <v>2</v>
      </c>
      <c r="B10" s="13">
        <v>30</v>
      </c>
      <c r="C10" s="13">
        <v>0</v>
      </c>
      <c r="D10" s="19">
        <v>8000000000</v>
      </c>
      <c r="E10" s="14" t="s">
        <v>115</v>
      </c>
      <c r="F10" s="13">
        <v>0</v>
      </c>
      <c r="G10" s="13">
        <v>0</v>
      </c>
      <c r="H10" s="15" t="s">
        <v>168</v>
      </c>
      <c r="I10" s="2"/>
      <c r="J10" s="8" t="s">
        <v>232</v>
      </c>
      <c r="K10" s="10">
        <f>IF($F$9="missing","missing",$F$9*$G$18/(2*$G$17^2*$D$9))</f>
        <v>7.994465546666666E-3</v>
      </c>
      <c r="L10" s="11">
        <v>7.994465546666666E-3</v>
      </c>
      <c r="M10" s="9">
        <f t="shared" si="0"/>
        <v>0</v>
      </c>
    </row>
    <row r="11" spans="1:13" ht="32" customHeight="1">
      <c r="A11" s="21">
        <v>3</v>
      </c>
      <c r="B11" s="13">
        <v>30</v>
      </c>
      <c r="C11" s="13">
        <v>0</v>
      </c>
      <c r="D11" s="19">
        <v>12000000000</v>
      </c>
      <c r="E11" s="14" t="s">
        <v>115</v>
      </c>
      <c r="F11" s="13">
        <v>0</v>
      </c>
      <c r="G11" s="13">
        <v>0</v>
      </c>
      <c r="H11" s="15" t="s">
        <v>168</v>
      </c>
      <c r="I11" s="2"/>
      <c r="J11" s="8" t="s">
        <v>233</v>
      </c>
      <c r="K11" s="10">
        <f>IF($G$9="missing","missing",$G$9*2*$G$17^2*$D$9/$G$18)</f>
        <v>10.006922855944561</v>
      </c>
      <c r="L11" s="11">
        <v>10.006922855944563</v>
      </c>
      <c r="M11" s="9">
        <f t="shared" si="0"/>
        <v>1.7751279438963745E-16</v>
      </c>
    </row>
    <row r="12" spans="1:13" ht="32" customHeight="1">
      <c r="A12" s="21">
        <v>4</v>
      </c>
      <c r="B12" s="13">
        <v>60</v>
      </c>
      <c r="C12" s="13">
        <v>0</v>
      </c>
      <c r="D12" s="19">
        <v>8000000000</v>
      </c>
      <c r="E12" s="14" t="s">
        <v>115</v>
      </c>
      <c r="F12" s="13" t="s">
        <v>168</v>
      </c>
      <c r="G12" s="13" t="s">
        <v>168</v>
      </c>
      <c r="H12" s="15" t="s">
        <v>168</v>
      </c>
      <c r="I12" s="2"/>
      <c r="J12" s="8" t="s">
        <v>234</v>
      </c>
      <c r="K12" s="10">
        <f>IF($F$10="missing","missing",$F$10*$G$18/(2*$G$17^2*$D$10))</f>
        <v>0</v>
      </c>
      <c r="L12" s="11">
        <v>0</v>
      </c>
      <c r="M12" s="9" t="str">
        <f t="shared" si="0"/>
        <v>n/a (zero)</v>
      </c>
    </row>
    <row r="13" spans="1:13" ht="32" customHeight="1">
      <c r="A13" s="21">
        <v>5</v>
      </c>
      <c r="B13" s="13">
        <v>60</v>
      </c>
      <c r="C13" s="13">
        <v>0</v>
      </c>
      <c r="D13" s="19">
        <v>12000000000</v>
      </c>
      <c r="E13" s="14" t="s">
        <v>115</v>
      </c>
      <c r="F13" s="13">
        <v>16</v>
      </c>
      <c r="G13" s="16">
        <v>0.04</v>
      </c>
      <c r="H13" s="15">
        <v>170</v>
      </c>
      <c r="I13" s="2"/>
      <c r="J13" s="8" t="s">
        <v>235</v>
      </c>
      <c r="K13" s="10">
        <f>IF($G$10="missing","missing",$G$10*2*$G$17^2*$D$10/$G$18)</f>
        <v>0</v>
      </c>
      <c r="L13" s="11">
        <v>0</v>
      </c>
      <c r="M13" s="9" t="str">
        <f t="shared" si="0"/>
        <v>n/a (zero)</v>
      </c>
    </row>
    <row r="14" spans="1:13" ht="32" customHeight="1">
      <c r="A14" s="2"/>
      <c r="B14" s="2"/>
      <c r="C14" s="2"/>
      <c r="D14" s="2"/>
      <c r="E14" s="2"/>
      <c r="F14" s="2"/>
      <c r="G14" s="2"/>
      <c r="H14" s="2"/>
      <c r="I14" s="2"/>
      <c r="J14" s="8" t="s">
        <v>236</v>
      </c>
      <c r="K14" s="10" t="str">
        <f>IF($F$12="missing","missing",$F$12*$G$18/(2*$G$17^2*$D$12))</f>
        <v>missing</v>
      </c>
      <c r="L14" s="11" t="s">
        <v>168</v>
      </c>
      <c r="M14" s="9" t="str">
        <f t="shared" si="0"/>
        <v>n/a</v>
      </c>
    </row>
    <row r="15" spans="1:13" ht="32" customHeight="1">
      <c r="A15" s="2"/>
      <c r="B15" s="2"/>
      <c r="C15" s="2"/>
      <c r="D15" s="2"/>
      <c r="E15" s="2"/>
      <c r="F15" s="2"/>
      <c r="G15" s="2"/>
      <c r="H15" s="2"/>
      <c r="I15" s="2"/>
      <c r="J15" s="8" t="s">
        <v>237</v>
      </c>
      <c r="K15" s="10" t="str">
        <f>IF($G$12="missing","missing",$G$12*2*$G$17^2*$D$12/$G$18)</f>
        <v>missing</v>
      </c>
      <c r="L15" s="11" t="s">
        <v>168</v>
      </c>
      <c r="M15" s="9" t="str">
        <f t="shared" si="0"/>
        <v>n/a</v>
      </c>
    </row>
    <row r="16" spans="1:13" ht="32" customHeight="1">
      <c r="A16" s="5" t="s">
        <v>156</v>
      </c>
      <c r="B16" s="2"/>
      <c r="C16" s="2"/>
      <c r="D16" s="2"/>
      <c r="E16" s="2"/>
      <c r="F16" s="2"/>
      <c r="G16" s="2"/>
      <c r="H16" s="2"/>
      <c r="I16" s="2"/>
      <c r="J16" s="8" t="s">
        <v>238</v>
      </c>
      <c r="K16" s="10">
        <f>IF($F$13="missing","missing",$F$13*$G$18/(2*$G$17^2*$D$13))</f>
        <v>3.1977862186666664E-2</v>
      </c>
      <c r="L16" s="11">
        <v>3.1977862186666664E-2</v>
      </c>
      <c r="M16" s="9">
        <f t="shared" si="0"/>
        <v>0</v>
      </c>
    </row>
    <row r="17" spans="1:13" ht="32" customHeight="1">
      <c r="A17" s="2" t="s">
        <v>239</v>
      </c>
      <c r="B17" s="2"/>
      <c r="C17" s="2"/>
      <c r="D17" s="2"/>
      <c r="E17" s="2"/>
      <c r="F17" s="2"/>
      <c r="G17" s="7">
        <v>2.5</v>
      </c>
      <c r="H17" s="2"/>
      <c r="I17" s="2"/>
      <c r="J17" s="8" t="s">
        <v>240</v>
      </c>
      <c r="K17" s="10">
        <f>IF($G$13="missing","missing",$G$13*2*$G$17^2*$D$13/$G$18)</f>
        <v>20.013845711889122</v>
      </c>
      <c r="L17" s="11">
        <v>20.013845711889125</v>
      </c>
      <c r="M17" s="9">
        <f t="shared" si="0"/>
        <v>1.7751279438963745E-16</v>
      </c>
    </row>
    <row r="18" spans="1:13" ht="32" customHeight="1">
      <c r="A18" s="2" t="s">
        <v>241</v>
      </c>
      <c r="B18" s="2"/>
      <c r="C18" s="2"/>
      <c r="D18" s="2"/>
      <c r="E18" s="2"/>
      <c r="F18" s="2"/>
      <c r="G18" s="7">
        <v>299792458</v>
      </c>
      <c r="H18" s="2"/>
      <c r="I18" s="2"/>
      <c r="J18" s="8" t="s">
        <v>242</v>
      </c>
      <c r="K18" s="10">
        <f>IF($K$23="missing","missing",IF($K$23=0,"-inf",10*LOG10(2*PI()*$D$8*$K$23/$G$18)))</f>
        <v>-2.9873014464994134</v>
      </c>
      <c r="L18" s="11">
        <v>-2.9873014464994134</v>
      </c>
      <c r="M18" s="9">
        <f>IF(AND(ISNUMBER(K18),ISNUMBER(L18)),ABS(10^((L18-K18)/10)-1),IF(ISBLANK(L18),"missing export",IF(ISBLANK(K18),"missing input","n/a")))</f>
        <v>0</v>
      </c>
    </row>
    <row r="19" spans="1:13" ht="32" customHeight="1">
      <c r="A19" s="2"/>
      <c r="B19" s="2"/>
      <c r="C19" s="2"/>
      <c r="D19" s="2"/>
      <c r="E19" s="2"/>
      <c r="F19" s="2"/>
      <c r="G19" s="2"/>
      <c r="H19" s="2"/>
      <c r="I19" s="2"/>
      <c r="J19" s="8" t="s">
        <v>243</v>
      </c>
      <c r="K19" s="10">
        <f>IF($K$24="missing","missing",IF($K$24=0,"-inf",10*LOG10($K$24)))</f>
        <v>5.2317929707207247</v>
      </c>
      <c r="L19" s="11">
        <v>5.2317929707207247</v>
      </c>
      <c r="M19" s="9">
        <f>IF(AND(ISNUMBER(K19),ISNUMBER(L19)),ABS(10^((L19-K19)/10)-1),IF(ISBLANK(L19),"missing export",IF(ISBLANK(K19),"missing input","n/a")))</f>
        <v>0</v>
      </c>
    </row>
    <row r="20" spans="1:13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7" customHeight="1">
      <c r="A21" s="2" t="s">
        <v>244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7" customHeight="1">
      <c r="A22" s="2"/>
      <c r="B22" s="2"/>
      <c r="C22" s="2"/>
      <c r="D22" s="2"/>
      <c r="E22" s="2"/>
      <c r="F22" s="2"/>
      <c r="G22" s="2"/>
      <c r="H22" s="2"/>
      <c r="I22" s="2"/>
      <c r="J22" s="5" t="s">
        <v>147</v>
      </c>
      <c r="K22" s="2"/>
      <c r="L22" s="2"/>
      <c r="M22" s="2"/>
    </row>
    <row r="23" spans="1:13" ht="32" customHeight="1">
      <c r="A23" s="2"/>
      <c r="B23" s="2"/>
      <c r="C23" s="2"/>
      <c r="D23" s="2"/>
      <c r="E23" s="2"/>
      <c r="F23" s="2"/>
      <c r="G23" s="2"/>
      <c r="H23" s="2"/>
      <c r="I23" s="2"/>
      <c r="J23" s="8" t="s">
        <v>245</v>
      </c>
      <c r="K23" s="10">
        <f>IF($F$8="missing","missing",$F$8*$G$18/(2*$G$17^2*$D$8))</f>
        <v>2.9979245800000002E-3</v>
      </c>
      <c r="L23" s="2"/>
      <c r="M23" s="2"/>
    </row>
    <row r="24" spans="1:13" ht="32" customHeight="1">
      <c r="A24" s="2"/>
      <c r="B24" s="2"/>
      <c r="C24" s="2"/>
      <c r="D24" s="2"/>
      <c r="E24" s="2"/>
      <c r="F24" s="2"/>
      <c r="G24" s="2"/>
      <c r="H24" s="2"/>
      <c r="I24" s="2"/>
      <c r="J24" s="8" t="s">
        <v>246</v>
      </c>
      <c r="K24" s="10">
        <f>IF($G$8="missing","missing",$G$8*2*$G$17^2*$D$8/$G$18)</f>
        <v>3.3356409519815204</v>
      </c>
      <c r="L24" s="2"/>
      <c r="M24" s="2"/>
    </row>
    <row r="25" spans="1:13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27" customHeight="1">
      <c r="A29" s="4" t="s">
        <v>122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7" customHeight="1">
      <c r="A30" s="4" t="s">
        <v>178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2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2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248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249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250</v>
      </c>
      <c r="B8" s="13">
        <v>0</v>
      </c>
      <c r="C8" s="13">
        <v>0</v>
      </c>
      <c r="D8" s="13">
        <v>10</v>
      </c>
      <c r="E8" s="14" t="s">
        <v>115</v>
      </c>
      <c r="F8" s="13">
        <v>0</v>
      </c>
      <c r="G8" s="15">
        <v>0</v>
      </c>
      <c r="H8" s="2"/>
      <c r="I8" s="8" t="s">
        <v>251</v>
      </c>
      <c r="J8" s="10">
        <f>AVERAGE($B$8,$B$9)</f>
        <v>0.5</v>
      </c>
      <c r="K8" s="11">
        <v>0.5</v>
      </c>
      <c r="L8" s="9">
        <f t="shared" ref="L8:L16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250</v>
      </c>
      <c r="B9" s="13">
        <v>1</v>
      </c>
      <c r="C9" s="13">
        <v>0</v>
      </c>
      <c r="D9" s="13">
        <v>10</v>
      </c>
      <c r="E9" s="14" t="s">
        <v>115</v>
      </c>
      <c r="F9" s="13">
        <v>2</v>
      </c>
      <c r="G9" s="15">
        <v>0</v>
      </c>
      <c r="H9" s="2"/>
      <c r="I9" s="8" t="s">
        <v>252</v>
      </c>
      <c r="J9" s="10">
        <f>AVERAGE($F$8,$F$9)</f>
        <v>1</v>
      </c>
      <c r="K9" s="11">
        <v>1.0000000000000002</v>
      </c>
      <c r="L9" s="9">
        <f t="shared" si="0"/>
        <v>2.2204460492503131E-16</v>
      </c>
    </row>
    <row r="10" spans="1:12" ht="32" customHeight="1">
      <c r="A10" s="12" t="s">
        <v>250</v>
      </c>
      <c r="B10" s="13">
        <v>2</v>
      </c>
      <c r="C10" s="13">
        <v>0</v>
      </c>
      <c r="D10" s="13">
        <v>10</v>
      </c>
      <c r="E10" s="14" t="s">
        <v>115</v>
      </c>
      <c r="F10" s="13" t="s">
        <v>168</v>
      </c>
      <c r="G10" s="15" t="s">
        <v>168</v>
      </c>
      <c r="H10" s="2"/>
      <c r="I10" s="8" t="s">
        <v>253</v>
      </c>
      <c r="J10" s="10">
        <f>AVERAGE($B$10,$B$11)</f>
        <v>2.5</v>
      </c>
      <c r="K10" s="11">
        <v>2.5</v>
      </c>
      <c r="L10" s="9">
        <f t="shared" si="0"/>
        <v>0</v>
      </c>
    </row>
    <row r="11" spans="1:12" ht="32" customHeight="1">
      <c r="A11" s="12" t="s">
        <v>250</v>
      </c>
      <c r="B11" s="13">
        <v>3</v>
      </c>
      <c r="C11" s="13">
        <v>0</v>
      </c>
      <c r="D11" s="13">
        <v>10</v>
      </c>
      <c r="E11" s="14" t="s">
        <v>115</v>
      </c>
      <c r="F11" s="13">
        <v>6</v>
      </c>
      <c r="G11" s="15">
        <v>0</v>
      </c>
      <c r="H11" s="2"/>
      <c r="I11" s="8" t="s">
        <v>254</v>
      </c>
      <c r="J11" s="10">
        <f>AVERAGE($F$10,$F$11)</f>
        <v>6</v>
      </c>
      <c r="K11" s="11">
        <v>5.9999999999999991</v>
      </c>
      <c r="L11" s="9">
        <f t="shared" si="0"/>
        <v>1.4802973661668753E-16</v>
      </c>
    </row>
    <row r="12" spans="1:12" ht="32" customHeight="1">
      <c r="A12" s="12" t="s">
        <v>250</v>
      </c>
      <c r="B12" s="13">
        <v>4</v>
      </c>
      <c r="C12" s="13">
        <v>0</v>
      </c>
      <c r="D12" s="13">
        <v>10</v>
      </c>
      <c r="E12" s="14" t="s">
        <v>115</v>
      </c>
      <c r="F12" s="13">
        <v>10</v>
      </c>
      <c r="G12" s="15">
        <v>0</v>
      </c>
      <c r="H12" s="2"/>
      <c r="I12" s="8" t="s">
        <v>255</v>
      </c>
      <c r="J12" s="10">
        <f>AVERAGE($B$12)</f>
        <v>4</v>
      </c>
      <c r="K12" s="11">
        <v>4</v>
      </c>
      <c r="L12" s="9">
        <f t="shared" si="0"/>
        <v>0</v>
      </c>
    </row>
    <row r="13" spans="1:12" ht="32" customHeight="1">
      <c r="A13" s="12" t="s">
        <v>256</v>
      </c>
      <c r="B13" s="13">
        <v>0</v>
      </c>
      <c r="C13" s="13">
        <v>0</v>
      </c>
      <c r="D13" s="13">
        <v>10</v>
      </c>
      <c r="E13" s="14" t="s">
        <v>115</v>
      </c>
      <c r="F13" s="13">
        <v>1</v>
      </c>
      <c r="G13" s="15">
        <v>0</v>
      </c>
      <c r="H13" s="2"/>
      <c r="I13" s="8" t="s">
        <v>257</v>
      </c>
      <c r="J13" s="10">
        <f>AVERAGE($F$12)</f>
        <v>10</v>
      </c>
      <c r="K13" s="11">
        <v>10.000000000000002</v>
      </c>
      <c r="L13" s="9">
        <f t="shared" si="0"/>
        <v>1.7763568394002506E-16</v>
      </c>
    </row>
    <row r="14" spans="1:12" ht="32" customHeight="1">
      <c r="A14" s="12" t="s">
        <v>256</v>
      </c>
      <c r="B14" s="13">
        <v>1</v>
      </c>
      <c r="C14" s="13">
        <v>0</v>
      </c>
      <c r="D14" s="13">
        <v>10</v>
      </c>
      <c r="E14" s="14" t="s">
        <v>115</v>
      </c>
      <c r="F14" s="13">
        <v>1</v>
      </c>
      <c r="G14" s="15">
        <v>180</v>
      </c>
      <c r="H14" s="2"/>
      <c r="I14" s="8" t="s">
        <v>258</v>
      </c>
      <c r="J14" s="10">
        <f>$J$20^2+$J$21^2</f>
        <v>3.7524718414124473E-33</v>
      </c>
      <c r="K14" s="11">
        <v>0</v>
      </c>
      <c r="L14" s="9">
        <f t="shared" si="0"/>
        <v>1</v>
      </c>
    </row>
    <row r="15" spans="1:12" ht="32" customHeight="1">
      <c r="A15" s="12" t="s">
        <v>256</v>
      </c>
      <c r="B15" s="13">
        <v>2</v>
      </c>
      <c r="C15" s="13">
        <v>0</v>
      </c>
      <c r="D15" s="13">
        <v>10</v>
      </c>
      <c r="E15" s="14" t="s">
        <v>115</v>
      </c>
      <c r="F15" s="13">
        <v>4</v>
      </c>
      <c r="G15" s="15">
        <v>90</v>
      </c>
      <c r="H15" s="2"/>
      <c r="I15" s="8" t="s">
        <v>259</v>
      </c>
      <c r="J15" s="10">
        <f>$J$22^2+$J$23^2</f>
        <v>4</v>
      </c>
      <c r="K15" s="11">
        <v>4</v>
      </c>
      <c r="L15" s="9">
        <f t="shared" si="0"/>
        <v>0</v>
      </c>
    </row>
    <row r="16" spans="1:12" ht="32" customHeight="1">
      <c r="A16" s="12" t="s">
        <v>256</v>
      </c>
      <c r="B16" s="13">
        <v>3</v>
      </c>
      <c r="C16" s="13">
        <v>0</v>
      </c>
      <c r="D16" s="13">
        <v>10</v>
      </c>
      <c r="E16" s="14" t="s">
        <v>115</v>
      </c>
      <c r="F16" s="13">
        <v>4</v>
      </c>
      <c r="G16" s="15">
        <v>90</v>
      </c>
      <c r="H16" s="2"/>
      <c r="I16" s="8" t="s">
        <v>260</v>
      </c>
      <c r="J16" s="10">
        <f>$J$24^2+$J$25^2</f>
        <v>9</v>
      </c>
      <c r="K16" s="11">
        <v>9.0000000000000018</v>
      </c>
      <c r="L16" s="9">
        <f t="shared" si="0"/>
        <v>1.9737298215558337E-16</v>
      </c>
    </row>
    <row r="17" spans="1:12" ht="32" customHeight="1">
      <c r="A17" s="12" t="s">
        <v>256</v>
      </c>
      <c r="B17" s="13">
        <v>4</v>
      </c>
      <c r="C17" s="13">
        <v>0</v>
      </c>
      <c r="D17" s="13">
        <v>10</v>
      </c>
      <c r="E17" s="14" t="s">
        <v>115</v>
      </c>
      <c r="F17" s="13">
        <v>9</v>
      </c>
      <c r="G17" s="15">
        <v>45</v>
      </c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5" t="s">
        <v>147</v>
      </c>
      <c r="J19" s="2"/>
      <c r="K19" s="2"/>
      <c r="L19" s="2"/>
    </row>
    <row r="20" spans="1:12" ht="32" customHeight="1">
      <c r="A20" s="2"/>
      <c r="B20" s="2"/>
      <c r="C20" s="2"/>
      <c r="D20" s="2"/>
      <c r="E20" s="2"/>
      <c r="F20" s="2"/>
      <c r="G20" s="2"/>
      <c r="H20" s="2"/>
      <c r="I20" s="8" t="s">
        <v>261</v>
      </c>
      <c r="J20" s="10">
        <f>(SQRT($F$13)*COS(RADIANS($G$13))+SQRT($F$14)*COS(RADIANS($G$14)))/2</f>
        <v>0</v>
      </c>
      <c r="K20" s="2"/>
      <c r="L20" s="2"/>
    </row>
    <row r="21" spans="1:12" ht="32" customHeight="1">
      <c r="A21" s="2"/>
      <c r="B21" s="2"/>
      <c r="C21" s="2"/>
      <c r="D21" s="2"/>
      <c r="E21" s="2"/>
      <c r="F21" s="2"/>
      <c r="G21" s="2"/>
      <c r="H21" s="2"/>
      <c r="I21" s="8" t="s">
        <v>262</v>
      </c>
      <c r="J21" s="17">
        <f>(SQRT($F$13)*SIN(RADIANS($G$13))+SQRT($F$14)*SIN(RADIANS($G$14)))/2</f>
        <v>6.1257422745431001E-17</v>
      </c>
      <c r="K21" s="2"/>
      <c r="L21" s="2"/>
    </row>
    <row r="22" spans="1:12" ht="32" customHeight="1">
      <c r="A22" s="2"/>
      <c r="B22" s="2"/>
      <c r="C22" s="2"/>
      <c r="D22" s="2"/>
      <c r="E22" s="2"/>
      <c r="F22" s="2"/>
      <c r="G22" s="2"/>
      <c r="H22" s="2"/>
      <c r="I22" s="8" t="s">
        <v>263</v>
      </c>
      <c r="J22" s="17">
        <f>(SQRT($F$15)*COS(RADIANS($G$15))+SQRT($F$16)*COS(RADIANS($G$16)))/2</f>
        <v>1.22514845490862E-16</v>
      </c>
      <c r="K22" s="2"/>
      <c r="L22" s="2"/>
    </row>
    <row r="23" spans="1:12" ht="32" customHeight="1">
      <c r="A23" s="2" t="s">
        <v>264</v>
      </c>
      <c r="B23" s="2"/>
      <c r="C23" s="2"/>
      <c r="D23" s="2"/>
      <c r="E23" s="2"/>
      <c r="F23" s="2"/>
      <c r="G23" s="2"/>
      <c r="H23" s="2"/>
      <c r="I23" s="8" t="s">
        <v>265</v>
      </c>
      <c r="J23" s="10">
        <f>(SQRT($F$15)*SIN(RADIANS($G$15))+SQRT($F$16)*SIN(RADIANS($G$16)))/2</f>
        <v>2</v>
      </c>
      <c r="K23" s="2"/>
      <c r="L23" s="2"/>
    </row>
    <row r="24" spans="1:12" ht="32" customHeight="1">
      <c r="A24" s="2"/>
      <c r="B24" s="2"/>
      <c r="C24" s="2"/>
      <c r="D24" s="2"/>
      <c r="E24" s="2"/>
      <c r="F24" s="2"/>
      <c r="G24" s="2"/>
      <c r="H24" s="2"/>
      <c r="I24" s="8" t="s">
        <v>266</v>
      </c>
      <c r="J24" s="10">
        <f>(SQRT($F$17)*COS(RADIANS($G$17)))/1</f>
        <v>2.1213203435596428</v>
      </c>
      <c r="K24" s="2"/>
      <c r="L24" s="2"/>
    </row>
    <row r="25" spans="1:12" ht="32" customHeight="1">
      <c r="A25" s="2"/>
      <c r="B25" s="2"/>
      <c r="C25" s="2"/>
      <c r="D25" s="2"/>
      <c r="E25" s="2"/>
      <c r="F25" s="2"/>
      <c r="G25" s="2"/>
      <c r="H25" s="2"/>
      <c r="I25" s="8" t="s">
        <v>267</v>
      </c>
      <c r="J25" s="10">
        <f>(SQRT($F$17)*SIN(RADIANS($G$17)))/1</f>
        <v>2.1213203435596424</v>
      </c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7" customHeight="1">
      <c r="A30" s="4" t="s">
        <v>122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2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2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268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269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163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12" t="s">
        <v>197</v>
      </c>
      <c r="B8" s="13">
        <v>0</v>
      </c>
      <c r="C8" s="13">
        <v>0</v>
      </c>
      <c r="D8" s="13">
        <v>10</v>
      </c>
      <c r="E8" s="14" t="s">
        <v>115</v>
      </c>
      <c r="F8" s="15">
        <v>1</v>
      </c>
      <c r="G8" s="2"/>
      <c r="H8" s="8" t="s">
        <v>270</v>
      </c>
      <c r="I8" s="10">
        <f>IF(OR($F$8="missing",$F$14="missing"),"missing",IF($F$14=0,"missing",$F$8/$F$14))</f>
        <v>2</v>
      </c>
      <c r="J8" s="11">
        <v>2</v>
      </c>
      <c r="K8" s="9">
        <f t="shared" ref="K8:K13" si="0">IF(AND(ISNUMBER(I8),ISNUMBER(J8)),IF(SIGN(I8)=0,"n/a (zero)",ABS(J8-I8)/ABS(I8)),IF(ISBLANK(J8),"missing export",IF(ISBLANK(I8),"missing input","n/a")))</f>
        <v>0</v>
      </c>
    </row>
    <row r="9" spans="1:11" ht="32" customHeight="1">
      <c r="A9" s="12" t="s">
        <v>197</v>
      </c>
      <c r="B9" s="13">
        <v>1</v>
      </c>
      <c r="C9" s="13">
        <v>0</v>
      </c>
      <c r="D9" s="13">
        <v>10</v>
      </c>
      <c r="E9" s="14" t="s">
        <v>115</v>
      </c>
      <c r="F9" s="15">
        <v>10</v>
      </c>
      <c r="G9" s="2"/>
      <c r="H9" s="8" t="s">
        <v>271</v>
      </c>
      <c r="I9" s="10" t="str">
        <f>IF(OR($F$9="missing",$F$15="missing"),"missing",IF($F$15=0,"missing",$F$9/$F$15))</f>
        <v>missing</v>
      </c>
      <c r="J9" s="11" t="s">
        <v>168</v>
      </c>
      <c r="K9" s="9" t="str">
        <f t="shared" si="0"/>
        <v>n/a</v>
      </c>
    </row>
    <row r="10" spans="1:11" ht="32" customHeight="1">
      <c r="A10" s="12" t="s">
        <v>197</v>
      </c>
      <c r="B10" s="13">
        <v>2</v>
      </c>
      <c r="C10" s="13">
        <v>0</v>
      </c>
      <c r="D10" s="13">
        <v>10</v>
      </c>
      <c r="E10" s="14" t="s">
        <v>115</v>
      </c>
      <c r="F10" s="15">
        <v>0</v>
      </c>
      <c r="G10" s="2"/>
      <c r="H10" s="8" t="s">
        <v>272</v>
      </c>
      <c r="I10" s="10">
        <f>IF(OR($F$10="missing",$F$16="missing"),"missing",IF($F$16=0,"missing",$F$10/$F$16))</f>
        <v>0</v>
      </c>
      <c r="J10" s="11">
        <v>0</v>
      </c>
      <c r="K10" s="9" t="str">
        <f t="shared" si="0"/>
        <v>n/a (zero)</v>
      </c>
    </row>
    <row r="11" spans="1:11" ht="32" customHeight="1">
      <c r="A11" s="12" t="s">
        <v>197</v>
      </c>
      <c r="B11" s="13">
        <v>3</v>
      </c>
      <c r="C11" s="13">
        <v>0</v>
      </c>
      <c r="D11" s="13">
        <v>10</v>
      </c>
      <c r="E11" s="14" t="s">
        <v>115</v>
      </c>
      <c r="F11" s="15">
        <v>4</v>
      </c>
      <c r="G11" s="2"/>
      <c r="H11" s="8" t="s">
        <v>273</v>
      </c>
      <c r="I11" s="10">
        <f>IF(OR($F$11="missing",$F$17="missing"),"missing",IF($F$17=0,"missing",$F$11/$F$17))</f>
        <v>1</v>
      </c>
      <c r="J11" s="11">
        <v>1</v>
      </c>
      <c r="K11" s="9">
        <f t="shared" si="0"/>
        <v>0</v>
      </c>
    </row>
    <row r="12" spans="1:11" ht="32" customHeight="1">
      <c r="A12" s="12" t="s">
        <v>197</v>
      </c>
      <c r="B12" s="13">
        <v>4</v>
      </c>
      <c r="C12" s="13">
        <v>0</v>
      </c>
      <c r="D12" s="13">
        <v>10</v>
      </c>
      <c r="E12" s="14" t="s">
        <v>115</v>
      </c>
      <c r="F12" s="15" t="s">
        <v>168</v>
      </c>
      <c r="G12" s="2"/>
      <c r="H12" s="8" t="s">
        <v>274</v>
      </c>
      <c r="I12" s="10" t="str">
        <f>IF(OR($F$12="missing",$F$18="missing"),"missing",IF($F$18=0,"missing",$F$12/$F$18))</f>
        <v>missing</v>
      </c>
      <c r="J12" s="11" t="s">
        <v>168</v>
      </c>
      <c r="K12" s="9" t="str">
        <f t="shared" si="0"/>
        <v>n/a</v>
      </c>
    </row>
    <row r="13" spans="1:11" ht="32" customHeight="1">
      <c r="A13" s="12" t="s">
        <v>197</v>
      </c>
      <c r="B13" s="13">
        <v>5</v>
      </c>
      <c r="C13" s="13">
        <v>0</v>
      </c>
      <c r="D13" s="13">
        <v>10</v>
      </c>
      <c r="E13" s="14" t="s">
        <v>115</v>
      </c>
      <c r="F13" s="15">
        <v>9</v>
      </c>
      <c r="G13" s="2"/>
      <c r="H13" s="8" t="s">
        <v>275</v>
      </c>
      <c r="I13" s="10" t="str">
        <f>IF(OR($F$13="missing",$F$19="missing"),"missing",IF($F$19=0,"missing",$F$13/$F$19))</f>
        <v>missing</v>
      </c>
      <c r="J13" s="11" t="s">
        <v>168</v>
      </c>
      <c r="K13" s="9" t="str">
        <f t="shared" si="0"/>
        <v>n/a</v>
      </c>
    </row>
    <row r="14" spans="1:11" ht="32" customHeight="1">
      <c r="A14" s="12" t="s">
        <v>205</v>
      </c>
      <c r="B14" s="13">
        <v>0</v>
      </c>
      <c r="C14" s="13">
        <v>0</v>
      </c>
      <c r="D14" s="13">
        <v>10</v>
      </c>
      <c r="E14" s="14" t="s">
        <v>115</v>
      </c>
      <c r="F14" s="20">
        <v>0.5</v>
      </c>
      <c r="G14" s="2"/>
      <c r="H14" s="8" t="s">
        <v>276</v>
      </c>
      <c r="I14" s="10">
        <f>IF($I$19="missing","missing",IF($I$19=0,"-inf",10*LOG10($I$19)))</f>
        <v>3.0102999566398121</v>
      </c>
      <c r="J14" s="11">
        <v>3.0102999566398121</v>
      </c>
      <c r="K14" s="9">
        <f>IF(AND(ISNUMBER(I14),ISNUMBER(J14)),ABS(10^((J14-I14)/10)-1),IF(ISBLANK(J14),"missing export",IF(ISBLANK(I14),"missing input","n/a")))</f>
        <v>0</v>
      </c>
    </row>
    <row r="15" spans="1:11" ht="32" customHeight="1">
      <c r="A15" s="12" t="s">
        <v>205</v>
      </c>
      <c r="B15" s="13">
        <v>1</v>
      </c>
      <c r="C15" s="13">
        <v>0</v>
      </c>
      <c r="D15" s="13">
        <v>10</v>
      </c>
      <c r="E15" s="14" t="s">
        <v>115</v>
      </c>
      <c r="F15" s="15">
        <v>0</v>
      </c>
      <c r="G15" s="2"/>
      <c r="H15" s="8" t="s">
        <v>277</v>
      </c>
      <c r="I15" s="10">
        <f>IF($I$20="missing","missing",IF($I$20=0,"-inf",10*LOG10($I$20)))</f>
        <v>0</v>
      </c>
      <c r="J15" s="11">
        <v>0</v>
      </c>
      <c r="K15" s="9">
        <f>IF(AND(ISNUMBER(I15),ISNUMBER(J15)),ABS(10^((J15-I15)/10)-1),IF(ISBLANK(J15),"missing export",IF(ISBLANK(I15),"missing input","n/a")))</f>
        <v>0</v>
      </c>
    </row>
    <row r="16" spans="1:11" ht="27" customHeight="1">
      <c r="A16" s="12" t="s">
        <v>205</v>
      </c>
      <c r="B16" s="13">
        <v>2</v>
      </c>
      <c r="C16" s="13">
        <v>0</v>
      </c>
      <c r="D16" s="13">
        <v>10</v>
      </c>
      <c r="E16" s="14" t="s">
        <v>115</v>
      </c>
      <c r="F16" s="15">
        <v>2</v>
      </c>
      <c r="G16" s="2"/>
      <c r="H16" s="2"/>
      <c r="I16" s="2"/>
      <c r="J16" s="2"/>
      <c r="K16" s="2"/>
    </row>
    <row r="17" spans="1:11" ht="27" customHeight="1">
      <c r="A17" s="12" t="s">
        <v>205</v>
      </c>
      <c r="B17" s="13">
        <v>3</v>
      </c>
      <c r="C17" s="13">
        <v>0</v>
      </c>
      <c r="D17" s="13">
        <v>10</v>
      </c>
      <c r="E17" s="14" t="s">
        <v>115</v>
      </c>
      <c r="F17" s="15">
        <v>4</v>
      </c>
      <c r="G17" s="2"/>
      <c r="H17" s="2"/>
      <c r="I17" s="2"/>
      <c r="J17" s="2"/>
      <c r="K17" s="2"/>
    </row>
    <row r="18" spans="1:11" ht="27" customHeight="1">
      <c r="A18" s="12" t="s">
        <v>205</v>
      </c>
      <c r="B18" s="13">
        <v>4</v>
      </c>
      <c r="C18" s="13">
        <v>0</v>
      </c>
      <c r="D18" s="13">
        <v>10</v>
      </c>
      <c r="E18" s="14" t="s">
        <v>115</v>
      </c>
      <c r="F18" s="15">
        <v>5</v>
      </c>
      <c r="G18" s="2"/>
      <c r="H18" s="5" t="s">
        <v>147</v>
      </c>
      <c r="I18" s="2"/>
      <c r="J18" s="2"/>
      <c r="K18" s="2"/>
    </row>
    <row r="19" spans="1:11" ht="32" customHeight="1">
      <c r="A19" s="12" t="s">
        <v>205</v>
      </c>
      <c r="B19" s="13">
        <v>5</v>
      </c>
      <c r="C19" s="13">
        <v>0</v>
      </c>
      <c r="D19" s="13">
        <v>10</v>
      </c>
      <c r="E19" s="14" t="s">
        <v>115</v>
      </c>
      <c r="F19" s="15" t="s">
        <v>168</v>
      </c>
      <c r="G19" s="2"/>
      <c r="H19" s="8" t="s">
        <v>278</v>
      </c>
      <c r="I19" s="10">
        <f>IF(OR($F$8="missing",$F$14="missing"),"missing",IF($F$14=0,"missing",$F$8/$F$14))</f>
        <v>2</v>
      </c>
      <c r="J19" s="2"/>
      <c r="K19" s="2"/>
    </row>
    <row r="20" spans="1:11" ht="32" customHeight="1">
      <c r="A20" s="2"/>
      <c r="B20" s="2"/>
      <c r="C20" s="2"/>
      <c r="D20" s="2"/>
      <c r="E20" s="2"/>
      <c r="F20" s="2"/>
      <c r="G20" s="2"/>
      <c r="H20" s="8" t="s">
        <v>279</v>
      </c>
      <c r="I20" s="10">
        <f>IF(OR($F$11="missing",$F$17="missing"),"missing",IF($F$17=0,"missing",$F$11/$F$17))</f>
        <v>1</v>
      </c>
      <c r="J20" s="2"/>
      <c r="K20" s="2"/>
    </row>
    <row r="21" spans="1:11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7" customHeight="1">
      <c r="A25" s="2" t="s">
        <v>280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27" customHeight="1">
      <c r="A28" s="4" t="s">
        <v>178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3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1" customWidth="1"/>
    <col min="2" max="2" width="12" customWidth="1"/>
    <col min="3" max="4" width="14" customWidth="1"/>
    <col min="5" max="5" width="3" customWidth="1"/>
    <col min="6" max="6" width="31" customWidth="1"/>
    <col min="7" max="8" width="17" customWidth="1"/>
    <col min="9" max="9" width="15" customWidth="1"/>
  </cols>
  <sheetData>
    <row r="1" spans="1:9" ht="35" customHeight="1">
      <c r="A1" s="3" t="s">
        <v>33</v>
      </c>
      <c r="B1" s="2"/>
      <c r="C1" s="2"/>
      <c r="D1" s="2"/>
      <c r="E1" s="2"/>
      <c r="F1" s="2"/>
      <c r="G1" s="2"/>
      <c r="H1" s="2"/>
      <c r="I1" s="2"/>
    </row>
    <row r="2" spans="1:9" ht="27" customHeight="1">
      <c r="A2" s="2"/>
      <c r="B2" s="2"/>
      <c r="C2" s="2"/>
      <c r="D2" s="2"/>
      <c r="E2" s="2"/>
      <c r="F2" s="2"/>
      <c r="G2" s="2"/>
      <c r="H2" s="2"/>
      <c r="I2" s="2"/>
    </row>
    <row r="3" spans="1:9" ht="27" customHeight="1">
      <c r="A3" s="2" t="s">
        <v>281</v>
      </c>
      <c r="B3" s="2"/>
      <c r="C3" s="2"/>
      <c r="D3" s="2"/>
      <c r="E3" s="2"/>
      <c r="F3" s="2"/>
      <c r="G3" s="2"/>
      <c r="H3" s="2"/>
      <c r="I3" s="2"/>
    </row>
    <row r="4" spans="1:9" ht="27" customHeight="1">
      <c r="A4" s="2"/>
      <c r="B4" s="2"/>
      <c r="C4" s="2"/>
      <c r="D4" s="2"/>
      <c r="E4" s="2"/>
      <c r="F4" s="2"/>
      <c r="G4" s="2"/>
      <c r="H4" s="2"/>
      <c r="I4" s="2"/>
    </row>
    <row r="5" spans="1:9" ht="27" customHeight="1">
      <c r="A5" s="4" t="s">
        <v>282</v>
      </c>
      <c r="B5" s="4"/>
      <c r="C5" s="4"/>
      <c r="D5" s="4"/>
      <c r="E5" s="4"/>
      <c r="F5" s="4"/>
      <c r="G5" s="4"/>
      <c r="H5" s="4"/>
      <c r="I5" s="4"/>
    </row>
    <row r="6" spans="1:9" ht="27" customHeight="1">
      <c r="A6" s="5" t="s">
        <v>101</v>
      </c>
      <c r="B6" s="5"/>
      <c r="C6" s="5"/>
      <c r="D6" s="5"/>
      <c r="E6" s="5"/>
      <c r="F6" s="5" t="s">
        <v>102</v>
      </c>
      <c r="G6" s="5"/>
      <c r="H6" s="5"/>
      <c r="I6" s="5"/>
    </row>
    <row r="7" spans="1:9" ht="42" customHeight="1">
      <c r="A7" s="6" t="s">
        <v>104</v>
      </c>
      <c r="B7" s="6" t="s">
        <v>106</v>
      </c>
      <c r="C7" s="6" t="s">
        <v>283</v>
      </c>
      <c r="D7" s="6" t="s">
        <v>284</v>
      </c>
      <c r="E7" s="2"/>
      <c r="F7" s="6" t="s">
        <v>110</v>
      </c>
      <c r="G7" s="6" t="s">
        <v>111</v>
      </c>
      <c r="H7" s="6" t="s">
        <v>112</v>
      </c>
      <c r="I7" s="6" t="s">
        <v>113</v>
      </c>
    </row>
    <row r="8" spans="1:9" ht="32" customHeight="1">
      <c r="A8" s="21">
        <v>0</v>
      </c>
      <c r="B8" s="13">
        <v>8</v>
      </c>
      <c r="C8" s="13">
        <v>1</v>
      </c>
      <c r="D8" s="15">
        <v>2</v>
      </c>
      <c r="E8" s="2"/>
      <c r="F8" s="8" t="s">
        <v>285</v>
      </c>
      <c r="G8" s="10">
        <f>IF(OR($C$8="missing",$D$8="missing"),"missing",IF(OR($C$8&lt;=0,$D$8&lt;=0),"missing",10*LOG10($C$8/$D$8)))</f>
        <v>-3.0102999566398121</v>
      </c>
      <c r="H8" s="11">
        <v>-3.0102999566398121</v>
      </c>
      <c r="I8" s="9">
        <f t="shared" ref="I8:I13" si="0">IF(AND(ISNUMBER(G8),ISNUMBER(H8)),ABS(10^((H8-G8)/10)-1),IF(ISBLANK(H8),"missing export",IF(ISBLANK(G8),"missing input","n/a")))</f>
        <v>0</v>
      </c>
    </row>
    <row r="9" spans="1:9" ht="32" customHeight="1">
      <c r="A9" s="21">
        <v>0</v>
      </c>
      <c r="B9" s="13">
        <v>9</v>
      </c>
      <c r="C9" s="13">
        <v>4</v>
      </c>
      <c r="D9" s="15">
        <v>2</v>
      </c>
      <c r="E9" s="2"/>
      <c r="F9" s="8" t="s">
        <v>286</v>
      </c>
      <c r="G9" s="10">
        <f>IF(OR($C$9="missing",$D$9="missing"),"missing",IF(OR($C$9&lt;=0,$D$9&lt;=0),"missing",10*LOG10($C$9/$D$9)))</f>
        <v>3.0102999566398121</v>
      </c>
      <c r="H9" s="11">
        <v>3.0102999566398121</v>
      </c>
      <c r="I9" s="9">
        <f t="shared" si="0"/>
        <v>0</v>
      </c>
    </row>
    <row r="10" spans="1:9" ht="32" customHeight="1">
      <c r="A10" s="21">
        <v>0</v>
      </c>
      <c r="B10" s="13">
        <v>10</v>
      </c>
      <c r="C10" s="13">
        <v>0</v>
      </c>
      <c r="D10" s="15">
        <v>3</v>
      </c>
      <c r="E10" s="2"/>
      <c r="F10" s="8" t="s">
        <v>287</v>
      </c>
      <c r="G10" s="10" t="str">
        <f>IF(OR($C$10="missing",$D$10="missing"),"missing",IF(OR($C$10&lt;=0,$D$10&lt;=0),"missing",10*LOG10($C$10/$D$10)))</f>
        <v>missing</v>
      </c>
      <c r="H10" s="11" t="s">
        <v>168</v>
      </c>
      <c r="I10" s="9" t="str">
        <f t="shared" si="0"/>
        <v>n/a</v>
      </c>
    </row>
    <row r="11" spans="1:9" ht="32" customHeight="1">
      <c r="A11" s="21">
        <v>90</v>
      </c>
      <c r="B11" s="13">
        <v>8</v>
      </c>
      <c r="C11" s="13">
        <v>9</v>
      </c>
      <c r="D11" s="15">
        <v>9</v>
      </c>
      <c r="E11" s="2"/>
      <c r="F11" s="8" t="s">
        <v>288</v>
      </c>
      <c r="G11" s="10">
        <f>IF(OR($C$11="missing",$D$11="missing"),"missing",IF(OR($C$11&lt;=0,$D$11&lt;=0),"missing",10*LOG10($C$11/$D$11)))</f>
        <v>0</v>
      </c>
      <c r="H11" s="11">
        <v>0</v>
      </c>
      <c r="I11" s="9">
        <f t="shared" si="0"/>
        <v>0</v>
      </c>
    </row>
    <row r="12" spans="1:9" ht="32" customHeight="1">
      <c r="A12" s="21">
        <v>90</v>
      </c>
      <c r="B12" s="13">
        <v>9</v>
      </c>
      <c r="C12" s="13">
        <v>16</v>
      </c>
      <c r="D12" s="15">
        <v>4</v>
      </c>
      <c r="E12" s="2"/>
      <c r="F12" s="8" t="s">
        <v>289</v>
      </c>
      <c r="G12" s="10">
        <f>IF(OR($C$12="missing",$D$12="missing"),"missing",IF(OR($C$12&lt;=0,$D$12&lt;=0),"missing",10*LOG10($C$12/$D$12)))</f>
        <v>6.0205999132796242</v>
      </c>
      <c r="H12" s="11">
        <v>6.0205999132796242</v>
      </c>
      <c r="I12" s="9">
        <f t="shared" si="0"/>
        <v>0</v>
      </c>
    </row>
    <row r="13" spans="1:9" ht="32" customHeight="1">
      <c r="A13" s="21">
        <v>90</v>
      </c>
      <c r="B13" s="13">
        <v>10</v>
      </c>
      <c r="C13" s="13" t="s">
        <v>168</v>
      </c>
      <c r="D13" s="15">
        <v>5</v>
      </c>
      <c r="E13" s="2"/>
      <c r="F13" s="8" t="s">
        <v>290</v>
      </c>
      <c r="G13" s="10" t="str">
        <f>IF(OR($C$13="missing",$D$13="missing"),"missing",IF(OR($C$13&lt;=0,$D$13&lt;=0),"missing",10*LOG10($C$13/$D$13)))</f>
        <v>missing</v>
      </c>
      <c r="H13" s="11" t="s">
        <v>168</v>
      </c>
      <c r="I13" s="9" t="str">
        <f t="shared" si="0"/>
        <v>n/a</v>
      </c>
    </row>
    <row r="14" spans="1:9" ht="27" customHeight="1">
      <c r="A14" s="2"/>
      <c r="B14" s="2"/>
      <c r="C14" s="2"/>
      <c r="D14" s="2"/>
      <c r="E14" s="2"/>
      <c r="F14" s="2"/>
      <c r="G14" s="2"/>
      <c r="H14" s="2"/>
      <c r="I14" s="2"/>
    </row>
    <row r="15" spans="1:9" ht="27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27" customHeight="1">
      <c r="A16" s="2"/>
      <c r="B16" s="2"/>
      <c r="C16" s="2"/>
      <c r="D16" s="2"/>
      <c r="E16" s="2"/>
      <c r="F16" s="2"/>
      <c r="G16" s="2"/>
      <c r="H16" s="2"/>
      <c r="I16" s="2"/>
    </row>
    <row r="17" spans="1:9" ht="27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27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27" customHeight="1">
      <c r="A19" s="2" t="s">
        <v>291</v>
      </c>
      <c r="B19" s="2"/>
      <c r="C19" s="2"/>
      <c r="D19" s="2"/>
      <c r="E19" s="2"/>
      <c r="F19" s="2"/>
      <c r="G19" s="2"/>
      <c r="H19" s="2"/>
      <c r="I19" s="2"/>
    </row>
    <row r="20" spans="1:9" ht="27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27" customHeight="1">
      <c r="A21" s="4" t="s">
        <v>122</v>
      </c>
      <c r="B21" s="4"/>
      <c r="C21" s="4"/>
      <c r="D21" s="4"/>
      <c r="E21" s="4"/>
      <c r="F21" s="4"/>
      <c r="G21" s="4"/>
      <c r="H21" s="4"/>
      <c r="I21" s="4"/>
    </row>
    <row r="22" spans="1:9" ht="27" customHeight="1">
      <c r="A22" s="4" t="s">
        <v>178</v>
      </c>
      <c r="B22" s="4"/>
      <c r="C22" s="4"/>
      <c r="D22" s="4"/>
      <c r="E22" s="4"/>
      <c r="F22" s="4"/>
      <c r="G22" s="4"/>
      <c r="H22" s="4"/>
      <c r="I22" s="4"/>
    </row>
    <row r="23" spans="1:9" ht="27" customHeight="1">
      <c r="A23" s="4"/>
      <c r="B23" s="4"/>
      <c r="C23" s="4"/>
      <c r="D23" s="4"/>
      <c r="E23" s="4"/>
      <c r="F23" s="4"/>
      <c r="G23" s="4"/>
      <c r="H23" s="4"/>
      <c r="I23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7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292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293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3">
        <v>0</v>
      </c>
      <c r="C8" s="13">
        <v>-5</v>
      </c>
      <c r="D8" s="13">
        <v>9</v>
      </c>
      <c r="E8" s="14" t="s">
        <v>115</v>
      </c>
      <c r="F8" s="13">
        <v>1</v>
      </c>
      <c r="G8" s="15">
        <v>-150</v>
      </c>
      <c r="H8" s="2"/>
      <c r="I8" s="8" t="s">
        <v>117</v>
      </c>
      <c r="J8" s="10">
        <f>$F$8</f>
        <v>1</v>
      </c>
      <c r="K8" s="11">
        <v>1</v>
      </c>
      <c r="L8" s="9">
        <f t="shared" ref="L8:L17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119</v>
      </c>
      <c r="B9" s="13">
        <v>0</v>
      </c>
      <c r="C9" s="13">
        <v>-5</v>
      </c>
      <c r="D9" s="13">
        <v>10</v>
      </c>
      <c r="E9" s="14" t="s">
        <v>115</v>
      </c>
      <c r="F9" s="13">
        <v>0</v>
      </c>
      <c r="G9" s="15">
        <v>-137</v>
      </c>
      <c r="H9" s="2"/>
      <c r="I9" s="8" t="s">
        <v>120</v>
      </c>
      <c r="J9" s="10">
        <f>$F$9</f>
        <v>0</v>
      </c>
      <c r="K9" s="11">
        <v>0</v>
      </c>
      <c r="L9" s="9" t="str">
        <f t="shared" si="0"/>
        <v>n/a (zero)</v>
      </c>
    </row>
    <row r="10" spans="1:12" ht="32" customHeight="1">
      <c r="A10" s="12" t="s">
        <v>119</v>
      </c>
      <c r="B10" s="13">
        <v>0</v>
      </c>
      <c r="C10" s="13">
        <v>5</v>
      </c>
      <c r="D10" s="13">
        <v>9</v>
      </c>
      <c r="E10" s="14" t="s">
        <v>115</v>
      </c>
      <c r="F10" s="13" t="s">
        <v>168</v>
      </c>
      <c r="G10" s="15">
        <v>-124</v>
      </c>
      <c r="H10" s="2"/>
      <c r="I10" s="8" t="s">
        <v>294</v>
      </c>
      <c r="J10" s="10" t="str">
        <f>$F$10</f>
        <v>missing</v>
      </c>
      <c r="K10" s="11" t="s">
        <v>168</v>
      </c>
      <c r="L10" s="9" t="str">
        <f t="shared" si="0"/>
        <v>n/a</v>
      </c>
    </row>
    <row r="11" spans="1:12" ht="32" customHeight="1">
      <c r="A11" s="12" t="s">
        <v>119</v>
      </c>
      <c r="B11" s="13">
        <v>0</v>
      </c>
      <c r="C11" s="13">
        <v>5</v>
      </c>
      <c r="D11" s="13">
        <v>10</v>
      </c>
      <c r="E11" s="14" t="s">
        <v>115</v>
      </c>
      <c r="F11" s="13">
        <v>4</v>
      </c>
      <c r="G11" s="15">
        <v>-111</v>
      </c>
      <c r="H11" s="2"/>
      <c r="I11" s="8" t="s">
        <v>295</v>
      </c>
      <c r="J11" s="10">
        <f>$F$11</f>
        <v>4</v>
      </c>
      <c r="K11" s="11">
        <v>4</v>
      </c>
      <c r="L11" s="9">
        <f t="shared" si="0"/>
        <v>0</v>
      </c>
    </row>
    <row r="12" spans="1:12" ht="32" customHeight="1">
      <c r="A12" s="12" t="s">
        <v>119</v>
      </c>
      <c r="B12" s="13">
        <v>45</v>
      </c>
      <c r="C12" s="13">
        <v>-5</v>
      </c>
      <c r="D12" s="13">
        <v>9</v>
      </c>
      <c r="E12" s="14" t="s">
        <v>115</v>
      </c>
      <c r="F12" s="13">
        <v>5</v>
      </c>
      <c r="G12" s="15">
        <v>-98</v>
      </c>
      <c r="H12" s="2"/>
      <c r="I12" s="8" t="s">
        <v>296</v>
      </c>
      <c r="J12" s="10">
        <f>$F$12</f>
        <v>5</v>
      </c>
      <c r="K12" s="11">
        <v>5</v>
      </c>
      <c r="L12" s="9">
        <f t="shared" si="0"/>
        <v>0</v>
      </c>
    </row>
    <row r="13" spans="1:12" ht="32" customHeight="1">
      <c r="A13" s="12" t="s">
        <v>119</v>
      </c>
      <c r="B13" s="13">
        <v>45</v>
      </c>
      <c r="C13" s="13">
        <v>-5</v>
      </c>
      <c r="D13" s="13">
        <v>10</v>
      </c>
      <c r="E13" s="14" t="s">
        <v>115</v>
      </c>
      <c r="F13" s="13">
        <v>6</v>
      </c>
      <c r="G13" s="15">
        <v>-85</v>
      </c>
      <c r="H13" s="2"/>
      <c r="I13" s="8" t="s">
        <v>297</v>
      </c>
      <c r="J13" s="10">
        <f>$F$13</f>
        <v>6</v>
      </c>
      <c r="K13" s="11">
        <v>6</v>
      </c>
      <c r="L13" s="9">
        <f t="shared" si="0"/>
        <v>0</v>
      </c>
    </row>
    <row r="14" spans="1:12" ht="32" customHeight="1">
      <c r="A14" s="12" t="s">
        <v>119</v>
      </c>
      <c r="B14" s="13">
        <v>45</v>
      </c>
      <c r="C14" s="13">
        <v>5</v>
      </c>
      <c r="D14" s="13">
        <v>9</v>
      </c>
      <c r="E14" s="14" t="s">
        <v>115</v>
      </c>
      <c r="F14" s="13">
        <v>7</v>
      </c>
      <c r="G14" s="15">
        <v>-72</v>
      </c>
      <c r="H14" s="2"/>
      <c r="I14" s="8" t="s">
        <v>298</v>
      </c>
      <c r="J14" s="10">
        <f>$F$14</f>
        <v>7</v>
      </c>
      <c r="K14" s="11">
        <v>7</v>
      </c>
      <c r="L14" s="9">
        <f t="shared" si="0"/>
        <v>0</v>
      </c>
    </row>
    <row r="15" spans="1:12" ht="32" customHeight="1">
      <c r="A15" s="12" t="s">
        <v>119</v>
      </c>
      <c r="B15" s="13">
        <v>45</v>
      </c>
      <c r="C15" s="13">
        <v>5</v>
      </c>
      <c r="D15" s="13">
        <v>10</v>
      </c>
      <c r="E15" s="14" t="s">
        <v>115</v>
      </c>
      <c r="F15" s="13">
        <v>8</v>
      </c>
      <c r="G15" s="15">
        <v>-59</v>
      </c>
      <c r="H15" s="2"/>
      <c r="I15" s="8" t="s">
        <v>299</v>
      </c>
      <c r="J15" s="10">
        <f>$F$15</f>
        <v>8</v>
      </c>
      <c r="K15" s="11">
        <v>8</v>
      </c>
      <c r="L15" s="9">
        <f t="shared" si="0"/>
        <v>0</v>
      </c>
    </row>
    <row r="16" spans="1:12" ht="32" customHeight="1">
      <c r="A16" s="2"/>
      <c r="B16" s="2"/>
      <c r="C16" s="2"/>
      <c r="D16" s="2"/>
      <c r="E16" s="2"/>
      <c r="F16" s="2"/>
      <c r="G16" s="2"/>
      <c r="H16" s="2"/>
      <c r="I16" s="8" t="s">
        <v>300</v>
      </c>
      <c r="J16" s="10">
        <f>$B$15</f>
        <v>45</v>
      </c>
      <c r="K16" s="11">
        <v>45</v>
      </c>
      <c r="L16" s="9">
        <f t="shared" si="0"/>
        <v>0</v>
      </c>
    </row>
    <row r="17" spans="1:12" ht="32" customHeight="1">
      <c r="A17" s="2"/>
      <c r="B17" s="2"/>
      <c r="C17" s="2"/>
      <c r="D17" s="2"/>
      <c r="E17" s="2"/>
      <c r="F17" s="2"/>
      <c r="G17" s="2"/>
      <c r="H17" s="2"/>
      <c r="I17" s="8" t="s">
        <v>301</v>
      </c>
      <c r="J17" s="10">
        <f>$D$15</f>
        <v>10</v>
      </c>
      <c r="K17" s="11">
        <v>10</v>
      </c>
      <c r="L17" s="9">
        <f t="shared" si="0"/>
        <v>0</v>
      </c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 t="s">
        <v>302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4" t="s">
        <v>122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6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304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249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3">
        <v>0</v>
      </c>
      <c r="C8" s="13">
        <v>-10</v>
      </c>
      <c r="D8" s="13">
        <v>10</v>
      </c>
      <c r="E8" s="14" t="s">
        <v>115</v>
      </c>
      <c r="F8" s="13">
        <v>1</v>
      </c>
      <c r="G8" s="15">
        <v>0</v>
      </c>
      <c r="H8" s="2"/>
      <c r="I8" s="8" t="s">
        <v>116</v>
      </c>
      <c r="J8" s="10">
        <f>$B$8+IF($C$8&gt;0,180,0)</f>
        <v>0</v>
      </c>
      <c r="K8" s="11">
        <v>0</v>
      </c>
      <c r="L8" s="9" t="str">
        <f t="shared" ref="L8:L16" si="0">IF(AND(ISNUMBER(J8),ISNUMBER(K8)),IF(SIGN(J8)=0,"n/a (zero)",ABS(K8-J8)/ABS(J8)),IF(ISBLANK(K8),"missing export",IF(ISBLANK(J8),"missing input","n/a")))</f>
        <v>n/a (zero)</v>
      </c>
    </row>
    <row r="9" spans="1:12" ht="32" customHeight="1">
      <c r="A9" s="12" t="s">
        <v>119</v>
      </c>
      <c r="B9" s="13">
        <v>0</v>
      </c>
      <c r="C9" s="13">
        <v>10</v>
      </c>
      <c r="D9" s="13">
        <v>10</v>
      </c>
      <c r="E9" s="14" t="s">
        <v>115</v>
      </c>
      <c r="F9" s="13">
        <v>2</v>
      </c>
      <c r="G9" s="15">
        <v>30</v>
      </c>
      <c r="H9" s="2"/>
      <c r="I9" s="8" t="s">
        <v>117</v>
      </c>
      <c r="J9" s="10">
        <f>$F$8</f>
        <v>1</v>
      </c>
      <c r="K9" s="11">
        <v>1</v>
      </c>
      <c r="L9" s="9">
        <f t="shared" si="0"/>
        <v>0</v>
      </c>
    </row>
    <row r="10" spans="1:12" ht="32" customHeight="1">
      <c r="A10" s="12" t="s">
        <v>119</v>
      </c>
      <c r="B10" s="13">
        <v>90</v>
      </c>
      <c r="C10" s="13">
        <v>-10</v>
      </c>
      <c r="D10" s="13">
        <v>10</v>
      </c>
      <c r="E10" s="14" t="s">
        <v>115</v>
      </c>
      <c r="F10" s="13">
        <v>3</v>
      </c>
      <c r="G10" s="15">
        <v>60</v>
      </c>
      <c r="H10" s="2"/>
      <c r="I10" s="8" t="s">
        <v>118</v>
      </c>
      <c r="J10" s="10">
        <f>$B$10+IF($C$10&gt;0,180,0)</f>
        <v>90</v>
      </c>
      <c r="K10" s="11">
        <v>90</v>
      </c>
      <c r="L10" s="9">
        <f t="shared" si="0"/>
        <v>0</v>
      </c>
    </row>
    <row r="11" spans="1:12" ht="32" customHeight="1">
      <c r="A11" s="12" t="s">
        <v>119</v>
      </c>
      <c r="B11" s="13">
        <v>90</v>
      </c>
      <c r="C11" s="13">
        <v>10</v>
      </c>
      <c r="D11" s="13">
        <v>10</v>
      </c>
      <c r="E11" s="14" t="s">
        <v>115</v>
      </c>
      <c r="F11" s="13">
        <v>4</v>
      </c>
      <c r="G11" s="15">
        <v>90</v>
      </c>
      <c r="H11" s="2"/>
      <c r="I11" s="8" t="s">
        <v>120</v>
      </c>
      <c r="J11" s="10">
        <f>$F$10</f>
        <v>3</v>
      </c>
      <c r="K11" s="11">
        <v>3</v>
      </c>
      <c r="L11" s="9">
        <f t="shared" si="0"/>
        <v>0</v>
      </c>
    </row>
    <row r="12" spans="1:12" ht="32" customHeight="1">
      <c r="A12" s="2"/>
      <c r="B12" s="2"/>
      <c r="C12" s="2"/>
      <c r="D12" s="2"/>
      <c r="E12" s="2"/>
      <c r="F12" s="2"/>
      <c r="G12" s="2"/>
      <c r="H12" s="2"/>
      <c r="I12" s="8" t="s">
        <v>305</v>
      </c>
      <c r="J12" s="10">
        <f>$B$9+IF($C$9&gt;0,180,0)</f>
        <v>180</v>
      </c>
      <c r="K12" s="11">
        <v>180</v>
      </c>
      <c r="L12" s="9">
        <f t="shared" si="0"/>
        <v>0</v>
      </c>
    </row>
    <row r="13" spans="1:12" ht="32" customHeight="1">
      <c r="A13" s="2"/>
      <c r="B13" s="2"/>
      <c r="C13" s="2"/>
      <c r="D13" s="2"/>
      <c r="E13" s="2"/>
      <c r="F13" s="2"/>
      <c r="G13" s="2"/>
      <c r="H13" s="2"/>
      <c r="I13" s="8" t="s">
        <v>294</v>
      </c>
      <c r="J13" s="10">
        <f>$F$9</f>
        <v>2</v>
      </c>
      <c r="K13" s="11">
        <v>2</v>
      </c>
      <c r="L13" s="9">
        <f t="shared" si="0"/>
        <v>0</v>
      </c>
    </row>
    <row r="14" spans="1:12" ht="32" customHeight="1">
      <c r="A14" s="2"/>
      <c r="B14" s="2"/>
      <c r="C14" s="2"/>
      <c r="D14" s="2"/>
      <c r="E14" s="2"/>
      <c r="F14" s="2"/>
      <c r="G14" s="2"/>
      <c r="H14" s="2"/>
      <c r="I14" s="8" t="s">
        <v>306</v>
      </c>
      <c r="J14" s="10">
        <f>$B$11+IF($C$11&gt;0,180,0)</f>
        <v>270</v>
      </c>
      <c r="K14" s="11">
        <v>270</v>
      </c>
      <c r="L14" s="9">
        <f t="shared" si="0"/>
        <v>0</v>
      </c>
    </row>
    <row r="15" spans="1:12" ht="32" customHeight="1">
      <c r="A15" s="2"/>
      <c r="B15" s="2"/>
      <c r="C15" s="2"/>
      <c r="D15" s="2"/>
      <c r="E15" s="2"/>
      <c r="F15" s="2"/>
      <c r="G15" s="2"/>
      <c r="H15" s="2"/>
      <c r="I15" s="8" t="s">
        <v>295</v>
      </c>
      <c r="J15" s="10">
        <f>$F$11</f>
        <v>4</v>
      </c>
      <c r="K15" s="11">
        <v>4</v>
      </c>
      <c r="L15" s="9">
        <f t="shared" si="0"/>
        <v>0</v>
      </c>
    </row>
    <row r="16" spans="1:12" ht="32" customHeight="1">
      <c r="A16" s="2"/>
      <c r="B16" s="2"/>
      <c r="C16" s="2"/>
      <c r="D16" s="2"/>
      <c r="E16" s="2"/>
      <c r="F16" s="2"/>
      <c r="G16" s="2"/>
      <c r="H16" s="2"/>
      <c r="I16" s="8" t="s">
        <v>222</v>
      </c>
      <c r="J16" s="10">
        <f>$C$8</f>
        <v>-10</v>
      </c>
      <c r="K16" s="11">
        <v>-10</v>
      </c>
      <c r="L16" s="9">
        <f t="shared" si="0"/>
        <v>0</v>
      </c>
    </row>
    <row r="17" spans="1:12" ht="27" customHeight="1">
      <c r="A17" s="2" t="s">
        <v>307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4" t="s">
        <v>122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5" width="14" customWidth="1"/>
    <col min="6" max="6" width="3" customWidth="1"/>
    <col min="7" max="7" width="31" customWidth="1"/>
    <col min="8" max="9" width="17" customWidth="1"/>
    <col min="10" max="10" width="15" customWidth="1"/>
  </cols>
  <sheetData>
    <row r="1" spans="1:10" ht="35" customHeight="1">
      <c r="A1" s="3" t="s">
        <v>39</v>
      </c>
      <c r="B1" s="2"/>
      <c r="C1" s="2"/>
      <c r="D1" s="2"/>
      <c r="E1" s="2"/>
      <c r="F1" s="2"/>
      <c r="G1" s="2"/>
      <c r="H1" s="2"/>
      <c r="I1" s="2"/>
      <c r="J1" s="2"/>
    </row>
    <row r="2" spans="1:10" ht="27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7" customHeight="1">
      <c r="A3" s="2" t="s">
        <v>308</v>
      </c>
      <c r="B3" s="2"/>
      <c r="C3" s="2"/>
      <c r="D3" s="2"/>
      <c r="E3" s="2"/>
      <c r="F3" s="2"/>
      <c r="G3" s="2"/>
      <c r="H3" s="2"/>
      <c r="I3" s="2"/>
      <c r="J3" s="2"/>
    </row>
    <row r="4" spans="1:10" ht="27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7" customHeight="1">
      <c r="A5" s="4" t="s">
        <v>182</v>
      </c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>
      <c r="A6" s="5" t="s">
        <v>101</v>
      </c>
      <c r="B6" s="5"/>
      <c r="C6" s="5"/>
      <c r="D6" s="5"/>
      <c r="E6" s="5"/>
      <c r="F6" s="5"/>
      <c r="G6" s="5" t="s">
        <v>102</v>
      </c>
      <c r="H6" s="5"/>
      <c r="I6" s="5"/>
      <c r="J6" s="5"/>
    </row>
    <row r="7" spans="1:10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2"/>
      <c r="G7" s="6" t="s">
        <v>110</v>
      </c>
      <c r="H7" s="6" t="s">
        <v>111</v>
      </c>
      <c r="I7" s="6" t="s">
        <v>112</v>
      </c>
      <c r="J7" s="6" t="s">
        <v>113</v>
      </c>
    </row>
    <row r="8" spans="1:10" ht="32" customHeight="1">
      <c r="A8" s="21">
        <v>-20</v>
      </c>
      <c r="B8" s="13">
        <v>0</v>
      </c>
      <c r="C8" s="13">
        <v>8</v>
      </c>
      <c r="D8" s="14" t="s">
        <v>115</v>
      </c>
      <c r="E8" s="15">
        <v>1</v>
      </c>
      <c r="F8" s="2"/>
      <c r="G8" s="8" t="s">
        <v>309</v>
      </c>
      <c r="H8" s="10">
        <f>IF($H$19="missing","missing",IF($H$19&lt;=0,"missing",10*LOG10($H$19)))</f>
        <v>3.0102999566398121</v>
      </c>
      <c r="I8" s="11">
        <v>3.0102999566398121</v>
      </c>
      <c r="J8" s="9">
        <f t="shared" ref="J8:J15" si="0">IF(AND(ISNUMBER(H8),ISNUMBER(I8)),ABS(10^((I8-H8)/10)-1),IF(ISBLANK(I8),"missing export",IF(ISBLANK(H8),"missing input","n/a")))</f>
        <v>0</v>
      </c>
    </row>
    <row r="9" spans="1:10" ht="32" customHeight="1">
      <c r="A9" s="21">
        <v>-20</v>
      </c>
      <c r="B9" s="13">
        <v>30</v>
      </c>
      <c r="C9" s="13">
        <v>8</v>
      </c>
      <c r="D9" s="14" t="s">
        <v>115</v>
      </c>
      <c r="E9" s="15">
        <v>3</v>
      </c>
      <c r="F9" s="2"/>
      <c r="G9" s="8" t="s">
        <v>310</v>
      </c>
      <c r="H9" s="10">
        <f>IF($H$20="missing","missing",IF($H$20&lt;=0,"missing",10*LOG10($H$20)))</f>
        <v>8.0163234623316644</v>
      </c>
      <c r="I9" s="11">
        <v>8.0163234623316644</v>
      </c>
      <c r="J9" s="9">
        <f t="shared" si="0"/>
        <v>0</v>
      </c>
    </row>
    <row r="10" spans="1:10" ht="32" customHeight="1">
      <c r="A10" s="21">
        <v>0</v>
      </c>
      <c r="B10" s="13">
        <v>0</v>
      </c>
      <c r="C10" s="13">
        <v>8</v>
      </c>
      <c r="D10" s="14" t="s">
        <v>115</v>
      </c>
      <c r="E10" s="15">
        <v>5</v>
      </c>
      <c r="F10" s="2"/>
      <c r="G10" s="8" t="s">
        <v>311</v>
      </c>
      <c r="H10" s="10">
        <f>IF($H$21="missing","missing",IF($H$21&lt;=0,"missing",10*LOG10($H$21)))</f>
        <v>0</v>
      </c>
      <c r="I10" s="11">
        <v>0</v>
      </c>
      <c r="J10" s="9">
        <f t="shared" si="0"/>
        <v>0</v>
      </c>
    </row>
    <row r="11" spans="1:10" ht="32" customHeight="1">
      <c r="A11" s="21">
        <v>0</v>
      </c>
      <c r="B11" s="13">
        <v>30</v>
      </c>
      <c r="C11" s="13">
        <v>8</v>
      </c>
      <c r="D11" s="14" t="s">
        <v>115</v>
      </c>
      <c r="E11" s="15">
        <v>7</v>
      </c>
      <c r="F11" s="2"/>
      <c r="G11" s="8" t="s">
        <v>312</v>
      </c>
      <c r="H11" s="10">
        <f>IF($H$22="missing","missing",IF($H$22&lt;=0,"missing",10*LOG10($H$22)))</f>
        <v>8.4509804001425675</v>
      </c>
      <c r="I11" s="11">
        <v>8.4509804001425675</v>
      </c>
      <c r="J11" s="9">
        <f t="shared" si="0"/>
        <v>0</v>
      </c>
    </row>
    <row r="12" spans="1:10" ht="32" customHeight="1">
      <c r="A12" s="21">
        <v>20</v>
      </c>
      <c r="B12" s="13">
        <v>0</v>
      </c>
      <c r="C12" s="13">
        <v>8</v>
      </c>
      <c r="D12" s="14" t="s">
        <v>115</v>
      </c>
      <c r="E12" s="15">
        <v>0</v>
      </c>
      <c r="F12" s="2"/>
      <c r="G12" s="8" t="s">
        <v>313</v>
      </c>
      <c r="H12" s="10">
        <f>IF($H$26="missing","missing",IF($H$26&lt;=0,"missing",10*LOG10($H$26)))</f>
        <v>6.2324929039790034</v>
      </c>
      <c r="I12" s="11">
        <v>6.2324929039790042</v>
      </c>
      <c r="J12" s="9">
        <f t="shared" si="0"/>
        <v>2.2204460492503131E-16</v>
      </c>
    </row>
    <row r="13" spans="1:10" ht="32" customHeight="1">
      <c r="A13" s="21">
        <v>20</v>
      </c>
      <c r="B13" s="13">
        <v>30</v>
      </c>
      <c r="C13" s="13">
        <v>8</v>
      </c>
      <c r="D13" s="14" t="s">
        <v>115</v>
      </c>
      <c r="E13" s="15">
        <v>9</v>
      </c>
      <c r="F13" s="2"/>
      <c r="G13" s="8" t="s">
        <v>314</v>
      </c>
      <c r="H13" s="10">
        <f>IF($H$30="missing","missing",IF($H$30&lt;=0,"missing",10*LOG10($H$30)))</f>
        <v>9.3449845124356763</v>
      </c>
      <c r="I13" s="11">
        <v>9.3449845124356763</v>
      </c>
      <c r="J13" s="9">
        <f t="shared" si="0"/>
        <v>0</v>
      </c>
    </row>
    <row r="14" spans="1:10" ht="32" customHeight="1">
      <c r="A14" s="2"/>
      <c r="B14" s="2"/>
      <c r="C14" s="2"/>
      <c r="D14" s="2"/>
      <c r="E14" s="2"/>
      <c r="F14" s="2"/>
      <c r="G14" s="8" t="s">
        <v>315</v>
      </c>
      <c r="H14" s="10">
        <f>IF($H$31="missing","missing",IF($H$31&lt;=0,"missing",10*LOG10($H$31)))</f>
        <v>6.9897000433601884</v>
      </c>
      <c r="I14" s="11">
        <v>6.9897000433601884</v>
      </c>
      <c r="J14" s="9">
        <f t="shared" si="0"/>
        <v>0</v>
      </c>
    </row>
    <row r="15" spans="1:10" ht="32" customHeight="1">
      <c r="A15" s="2"/>
      <c r="B15" s="2"/>
      <c r="C15" s="2"/>
      <c r="D15" s="2"/>
      <c r="E15" s="2"/>
      <c r="F15" s="2"/>
      <c r="G15" s="8" t="s">
        <v>316</v>
      </c>
      <c r="H15" s="10">
        <f>IF($H$32="missing","missing",IF($H$32&lt;=0,"missing",10*LOG10($H$32)))</f>
        <v>9.5424250943932485</v>
      </c>
      <c r="I15" s="11">
        <v>9.5424250943932485</v>
      </c>
      <c r="J15" s="9">
        <f t="shared" si="0"/>
        <v>0</v>
      </c>
    </row>
    <row r="16" spans="1:10" ht="27" customHeight="1">
      <c r="A16" s="5" t="s">
        <v>156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27" customHeight="1">
      <c r="A17" s="2" t="s">
        <v>317</v>
      </c>
      <c r="B17" s="2"/>
      <c r="C17" s="2"/>
      <c r="D17" s="7">
        <v>90</v>
      </c>
      <c r="E17" s="2"/>
      <c r="F17" s="2"/>
      <c r="G17" s="2"/>
      <c r="H17" s="2"/>
      <c r="I17" s="2"/>
      <c r="J17" s="2"/>
    </row>
    <row r="18" spans="1:10" ht="27" customHeight="1">
      <c r="A18" s="2"/>
      <c r="B18" s="2"/>
      <c r="C18" s="2"/>
      <c r="D18" s="2"/>
      <c r="E18" s="2"/>
      <c r="F18" s="2"/>
      <c r="G18" s="5" t="s">
        <v>147</v>
      </c>
      <c r="H18" s="2"/>
      <c r="I18" s="2"/>
      <c r="J18" s="2"/>
    </row>
    <row r="19" spans="1:10" ht="32" customHeight="1">
      <c r="A19" s="2"/>
      <c r="B19" s="2"/>
      <c r="C19" s="2"/>
      <c r="D19" s="2"/>
      <c r="E19" s="2"/>
      <c r="F19" s="2"/>
      <c r="G19" s="8" t="s">
        <v>318</v>
      </c>
      <c r="H19" s="10">
        <f>IF(COUNT($E$8,$E$10,$E$12)=0,"missing",AVERAGE($E$8,$E$10,$E$12))</f>
        <v>2</v>
      </c>
      <c r="I19" s="2"/>
      <c r="J19" s="2"/>
    </row>
    <row r="20" spans="1:10" ht="32" customHeight="1">
      <c r="A20" s="2" t="s">
        <v>319</v>
      </c>
      <c r="B20" s="2"/>
      <c r="C20" s="2"/>
      <c r="D20" s="2"/>
      <c r="E20" s="2"/>
      <c r="F20" s="2"/>
      <c r="G20" s="8" t="s">
        <v>320</v>
      </c>
      <c r="H20" s="10">
        <f>IF(COUNT($E$9,$E$11,$E$13)=0,"missing",AVERAGE($E$9,$E$11,$E$13))</f>
        <v>6.333333333333333</v>
      </c>
      <c r="I20" s="2"/>
      <c r="J20" s="2"/>
    </row>
    <row r="21" spans="1:10" ht="32" customHeight="1">
      <c r="A21" s="2"/>
      <c r="B21" s="2"/>
      <c r="C21" s="2"/>
      <c r="D21" s="2"/>
      <c r="E21" s="2"/>
      <c r="F21" s="2"/>
      <c r="G21" s="8" t="s">
        <v>321</v>
      </c>
      <c r="H21" s="10">
        <f>IF(COUNT($E$8,$E$10,$E$12)=0,"missing",MEDIAN($E$8,$E$10,$E$12))</f>
        <v>1</v>
      </c>
      <c r="I21" s="2"/>
      <c r="J21" s="2"/>
    </row>
    <row r="22" spans="1:10" ht="32" customHeight="1">
      <c r="A22" s="2"/>
      <c r="B22" s="2"/>
      <c r="C22" s="2"/>
      <c r="D22" s="2"/>
      <c r="E22" s="2"/>
      <c r="F22" s="2"/>
      <c r="G22" s="8" t="s">
        <v>322</v>
      </c>
      <c r="H22" s="10">
        <f>IF(COUNT($E$9,$E$11,$E$13)=0,"missing",MEDIAN($E$9,$E$11,$E$13))</f>
        <v>7</v>
      </c>
      <c r="I22" s="2"/>
      <c r="J22" s="2"/>
    </row>
    <row r="23" spans="1:10" ht="32" customHeight="1">
      <c r="A23" s="2"/>
      <c r="B23" s="2"/>
      <c r="C23" s="2"/>
      <c r="D23" s="2"/>
      <c r="E23" s="2"/>
      <c r="F23" s="2"/>
      <c r="G23" s="8" t="s">
        <v>323</v>
      </c>
      <c r="H23" s="10">
        <f>$E$8</f>
        <v>1</v>
      </c>
      <c r="I23" s="2"/>
      <c r="J23" s="2"/>
    </row>
    <row r="24" spans="1:10" ht="32" customHeight="1">
      <c r="A24" s="2"/>
      <c r="B24" s="2"/>
      <c r="C24" s="2"/>
      <c r="D24" s="2"/>
      <c r="E24" s="2"/>
      <c r="F24" s="2"/>
      <c r="G24" s="8" t="s">
        <v>324</v>
      </c>
      <c r="H24" s="10">
        <f>$E$10</f>
        <v>5</v>
      </c>
      <c r="I24" s="2"/>
      <c r="J24" s="2"/>
    </row>
    <row r="25" spans="1:10" ht="32" customHeight="1">
      <c r="A25" s="2"/>
      <c r="B25" s="2"/>
      <c r="C25" s="2"/>
      <c r="D25" s="2"/>
      <c r="E25" s="2"/>
      <c r="F25" s="2"/>
      <c r="G25" s="8" t="s">
        <v>325</v>
      </c>
      <c r="H25" s="10">
        <f>$E$12</f>
        <v>0</v>
      </c>
      <c r="I25" s="2"/>
      <c r="J25" s="2"/>
    </row>
    <row r="26" spans="1:10" ht="32" customHeight="1">
      <c r="A26" s="2"/>
      <c r="B26" s="2"/>
      <c r="C26" s="2"/>
      <c r="D26" s="2"/>
      <c r="E26" s="2"/>
      <c r="F26" s="2"/>
      <c r="G26" s="8" t="s">
        <v>326</v>
      </c>
      <c r="H26" s="10">
        <f>IF(COUNT($E$8,$E$10,$E$12)=0,"missing",_xlfn.PERCENTILE.INC($H$23:$H$25,$D$17/100))</f>
        <v>4.1999999999999993</v>
      </c>
      <c r="I26" s="2"/>
      <c r="J26" s="2"/>
    </row>
    <row r="27" spans="1:10" ht="32" customHeight="1">
      <c r="A27" s="2"/>
      <c r="B27" s="2"/>
      <c r="C27" s="2"/>
      <c r="D27" s="2"/>
      <c r="E27" s="2"/>
      <c r="F27" s="2"/>
      <c r="G27" s="8" t="s">
        <v>327</v>
      </c>
      <c r="H27" s="10">
        <f>$E$9</f>
        <v>3</v>
      </c>
      <c r="I27" s="2"/>
      <c r="J27" s="2"/>
    </row>
    <row r="28" spans="1:10" ht="32" customHeight="1">
      <c r="A28" s="2"/>
      <c r="B28" s="2"/>
      <c r="C28" s="2"/>
      <c r="D28" s="2"/>
      <c r="E28" s="2"/>
      <c r="F28" s="2"/>
      <c r="G28" s="8" t="s">
        <v>328</v>
      </c>
      <c r="H28" s="10">
        <f>$E$11</f>
        <v>7</v>
      </c>
      <c r="I28" s="2"/>
      <c r="J28" s="2"/>
    </row>
    <row r="29" spans="1:10" ht="32" customHeight="1">
      <c r="A29" s="2"/>
      <c r="B29" s="2"/>
      <c r="C29" s="2"/>
      <c r="D29" s="2"/>
      <c r="E29" s="2"/>
      <c r="F29" s="2"/>
      <c r="G29" s="8" t="s">
        <v>329</v>
      </c>
      <c r="H29" s="10">
        <f>$E$13</f>
        <v>9</v>
      </c>
      <c r="I29" s="2"/>
      <c r="J29" s="2"/>
    </row>
    <row r="30" spans="1:10" ht="32" customHeight="1">
      <c r="A30" s="2"/>
      <c r="B30" s="2"/>
      <c r="C30" s="2"/>
      <c r="D30" s="2"/>
      <c r="E30" s="2"/>
      <c r="F30" s="2"/>
      <c r="G30" s="8" t="s">
        <v>330</v>
      </c>
      <c r="H30" s="10">
        <f>IF(COUNT($E$9,$E$11,$E$13)=0,"missing",_xlfn.PERCENTILE.INC($H$27:$H$29,$D$17/100))</f>
        <v>8.6</v>
      </c>
      <c r="I30" s="2"/>
      <c r="J30" s="2"/>
    </row>
    <row r="31" spans="1:10" ht="32" customHeight="1">
      <c r="A31" s="2"/>
      <c r="B31" s="2"/>
      <c r="C31" s="2"/>
      <c r="D31" s="2"/>
      <c r="E31" s="2"/>
      <c r="F31" s="2"/>
      <c r="G31" s="8" t="s">
        <v>331</v>
      </c>
      <c r="H31" s="10">
        <f>IF(COUNT($E$8,$E$10,$E$12)=0,"missing",MAX($E$8,$E$10,$E$12))</f>
        <v>5</v>
      </c>
      <c r="I31" s="2"/>
      <c r="J31" s="2"/>
    </row>
    <row r="32" spans="1:10" ht="32" customHeight="1">
      <c r="A32" s="2"/>
      <c r="B32" s="2"/>
      <c r="C32" s="2"/>
      <c r="D32" s="2"/>
      <c r="E32" s="2"/>
      <c r="F32" s="2"/>
      <c r="G32" s="8" t="s">
        <v>332</v>
      </c>
      <c r="H32" s="10">
        <f>IF(COUNT($E$9,$E$11,$E$13)=0,"missing",MAX($E$9,$E$11,$E$13))</f>
        <v>9</v>
      </c>
      <c r="I32" s="2"/>
      <c r="J32" s="2"/>
    </row>
    <row r="33" spans="1:10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27" customHeight="1">
      <c r="A37" s="4" t="s">
        <v>122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 ht="27" customHeight="1">
      <c r="A38" s="4" t="s">
        <v>178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ht="27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6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2" customWidth="1"/>
    <col min="8" max="8" width="14" customWidth="1"/>
    <col min="9" max="9" width="3" customWidth="1"/>
    <col min="10" max="10" width="31" customWidth="1"/>
    <col min="11" max="12" width="17" customWidth="1"/>
    <col min="13" max="13" width="15" customWidth="1"/>
  </cols>
  <sheetData>
    <row r="1" spans="1:13" ht="35" customHeight="1">
      <c r="A1" s="3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333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193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/>
      <c r="J6" s="5" t="s">
        <v>102</v>
      </c>
      <c r="K6" s="5"/>
      <c r="L6" s="5"/>
      <c r="M6" s="5"/>
    </row>
    <row r="7" spans="1:13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194</v>
      </c>
      <c r="G7" s="6" t="s">
        <v>195</v>
      </c>
      <c r="H7" s="6" t="s">
        <v>196</v>
      </c>
      <c r="I7" s="2"/>
      <c r="J7" s="6" t="s">
        <v>110</v>
      </c>
      <c r="K7" s="6" t="s">
        <v>111</v>
      </c>
      <c r="L7" s="6" t="s">
        <v>112</v>
      </c>
      <c r="M7" s="6" t="s">
        <v>113</v>
      </c>
    </row>
    <row r="8" spans="1:13" ht="32" customHeight="1">
      <c r="A8" s="12" t="s">
        <v>136</v>
      </c>
      <c r="B8" s="13">
        <v>0</v>
      </c>
      <c r="C8" s="13">
        <v>0</v>
      </c>
      <c r="D8" s="13">
        <v>10</v>
      </c>
      <c r="E8" s="14" t="s">
        <v>115</v>
      </c>
      <c r="F8" s="13">
        <v>1</v>
      </c>
      <c r="G8" s="13">
        <v>2</v>
      </c>
      <c r="H8" s="22">
        <f>IF(OR($F$8="missing",$G$8="missing"),"missing",$F$8^2+$G$8^2)</f>
        <v>5</v>
      </c>
      <c r="I8" s="2"/>
      <c r="J8" s="8" t="s">
        <v>334</v>
      </c>
      <c r="K8" s="10">
        <f>IF($G$8="missing","missing",-$G$8)</f>
        <v>-2</v>
      </c>
      <c r="L8" s="11">
        <v>-2</v>
      </c>
      <c r="M8" s="9">
        <f t="shared" ref="M8:M16" si="0">IF(AND(ISNUMBER(K8),ISNUMBER(L8)),IF(SIGN(K8)=0,"n/a (zero)",ABS(L8-K8)/ABS(K8)),IF(ISBLANK(L8),"missing export",IF(ISBLANK(K8),"missing input","n/a")))</f>
        <v>0</v>
      </c>
    </row>
    <row r="9" spans="1:13" ht="32" customHeight="1">
      <c r="A9" s="12" t="s">
        <v>136</v>
      </c>
      <c r="B9" s="13">
        <v>1</v>
      </c>
      <c r="C9" s="13">
        <v>0</v>
      </c>
      <c r="D9" s="13">
        <v>10</v>
      </c>
      <c r="E9" s="14" t="s">
        <v>115</v>
      </c>
      <c r="F9" s="13">
        <v>-1</v>
      </c>
      <c r="G9" s="19">
        <v>1E-8</v>
      </c>
      <c r="H9" s="22">
        <f>IF(OR($F$9="missing",$G$9="missing"),"missing",$F$9^2+$G$9^2)</f>
        <v>1</v>
      </c>
      <c r="I9" s="2"/>
      <c r="J9" s="8" t="s">
        <v>335</v>
      </c>
      <c r="K9" s="17">
        <f>IF($G$9="missing","missing",-$G$9)</f>
        <v>-1E-8</v>
      </c>
      <c r="L9" s="18">
        <v>-1.0000000061689971E-8</v>
      </c>
      <c r="M9" s="9">
        <f t="shared" si="0"/>
        <v>6.1689970376986005E-9</v>
      </c>
    </row>
    <row r="10" spans="1:13" ht="32" customHeight="1">
      <c r="A10" s="12" t="s">
        <v>136</v>
      </c>
      <c r="B10" s="13">
        <v>2</v>
      </c>
      <c r="C10" s="13">
        <v>0</v>
      </c>
      <c r="D10" s="13">
        <v>10</v>
      </c>
      <c r="E10" s="14" t="s">
        <v>115</v>
      </c>
      <c r="F10" s="13">
        <v>-1</v>
      </c>
      <c r="G10" s="19">
        <v>-1E-8</v>
      </c>
      <c r="H10" s="22">
        <f>IF(OR($F$10="missing",$G$10="missing"),"missing",$F$10^2+$G$10^2)</f>
        <v>1</v>
      </c>
      <c r="I10" s="2"/>
      <c r="J10" s="8" t="s">
        <v>336</v>
      </c>
      <c r="K10" s="17">
        <f>IF($G$10="missing","missing",-$G$10)</f>
        <v>1E-8</v>
      </c>
      <c r="L10" s="18">
        <v>1.0000000061689971E-8</v>
      </c>
      <c r="M10" s="9">
        <f t="shared" si="0"/>
        <v>6.1689970376986005E-9</v>
      </c>
    </row>
    <row r="11" spans="1:13" ht="32" customHeight="1">
      <c r="A11" s="12" t="s">
        <v>136</v>
      </c>
      <c r="B11" s="13">
        <v>3</v>
      </c>
      <c r="C11" s="13">
        <v>0</v>
      </c>
      <c r="D11" s="13">
        <v>10</v>
      </c>
      <c r="E11" s="14" t="s">
        <v>115</v>
      </c>
      <c r="F11" s="13">
        <v>0</v>
      </c>
      <c r="G11" s="13">
        <v>0</v>
      </c>
      <c r="H11" s="22">
        <f>IF(OR($F$11="missing",$G$11="missing"),"missing",$F$11^2+$G$11^2)</f>
        <v>0</v>
      </c>
      <c r="I11" s="2"/>
      <c r="J11" s="8" t="s">
        <v>337</v>
      </c>
      <c r="K11" s="10">
        <f>IF($G$11="missing","missing",-$G$11)</f>
        <v>0</v>
      </c>
      <c r="L11" s="11">
        <v>0</v>
      </c>
      <c r="M11" s="9" t="str">
        <f t="shared" si="0"/>
        <v>n/a (zero)</v>
      </c>
    </row>
    <row r="12" spans="1:13" ht="32" customHeight="1">
      <c r="A12" s="12" t="s">
        <v>136</v>
      </c>
      <c r="B12" s="13">
        <v>4</v>
      </c>
      <c r="C12" s="13">
        <v>0</v>
      </c>
      <c r="D12" s="13">
        <v>10</v>
      </c>
      <c r="E12" s="14" t="s">
        <v>115</v>
      </c>
      <c r="F12" s="13" t="s">
        <v>168</v>
      </c>
      <c r="G12" s="13" t="s">
        <v>168</v>
      </c>
      <c r="H12" s="22" t="str">
        <f>IF(OR($F$12="missing",$G$12="missing"),"missing",$F$12^2+$G$12^2)</f>
        <v>missing</v>
      </c>
      <c r="I12" s="2"/>
      <c r="J12" s="8" t="s">
        <v>338</v>
      </c>
      <c r="K12" s="10" t="str">
        <f>IF($G$12="missing","missing",-$G$12)</f>
        <v>missing</v>
      </c>
      <c r="L12" s="11" t="s">
        <v>168</v>
      </c>
      <c r="M12" s="9" t="str">
        <f t="shared" si="0"/>
        <v>n/a</v>
      </c>
    </row>
    <row r="13" spans="1:13" ht="32" customHeight="1">
      <c r="A13" s="12" t="s">
        <v>136</v>
      </c>
      <c r="B13" s="13">
        <v>5</v>
      </c>
      <c r="C13" s="13">
        <v>0</v>
      </c>
      <c r="D13" s="13">
        <v>10</v>
      </c>
      <c r="E13" s="14" t="s">
        <v>115</v>
      </c>
      <c r="F13" s="13">
        <v>3</v>
      </c>
      <c r="G13" s="13">
        <v>-4</v>
      </c>
      <c r="H13" s="22">
        <f>IF(OR($F$13="missing",$G$13="missing"),"missing",$F$13^2+$G$13^2)</f>
        <v>25</v>
      </c>
      <c r="I13" s="2"/>
      <c r="J13" s="8" t="s">
        <v>339</v>
      </c>
      <c r="K13" s="10">
        <f>IF($G$13="missing","missing",-$G$13)</f>
        <v>4</v>
      </c>
      <c r="L13" s="11">
        <v>3.9999999999999996</v>
      </c>
      <c r="M13" s="9">
        <f t="shared" si="0"/>
        <v>1.1102230246251565E-16</v>
      </c>
    </row>
    <row r="14" spans="1:13" ht="32" customHeight="1">
      <c r="A14" s="2"/>
      <c r="B14" s="2"/>
      <c r="C14" s="2"/>
      <c r="D14" s="2"/>
      <c r="E14" s="2"/>
      <c r="F14" s="2"/>
      <c r="G14" s="2"/>
      <c r="H14" s="2"/>
      <c r="I14" s="2"/>
      <c r="J14" s="8" t="s">
        <v>340</v>
      </c>
      <c r="K14" s="10">
        <f>$F$8^2+$G$8^2</f>
        <v>5</v>
      </c>
      <c r="L14" s="11">
        <v>5</v>
      </c>
      <c r="M14" s="9">
        <f t="shared" si="0"/>
        <v>0</v>
      </c>
    </row>
    <row r="15" spans="1:13" ht="32" customHeight="1">
      <c r="A15" s="2"/>
      <c r="B15" s="2"/>
      <c r="C15" s="2"/>
      <c r="D15" s="2"/>
      <c r="E15" s="2"/>
      <c r="F15" s="2"/>
      <c r="G15" s="2"/>
      <c r="H15" s="2"/>
      <c r="I15" s="2"/>
      <c r="J15" s="8" t="s">
        <v>341</v>
      </c>
      <c r="K15" s="10">
        <f>$F$11^2+$G$11^2</f>
        <v>0</v>
      </c>
      <c r="L15" s="11">
        <v>0</v>
      </c>
      <c r="M15" s="9" t="str">
        <f t="shared" si="0"/>
        <v>n/a (zero)</v>
      </c>
    </row>
    <row r="16" spans="1:13" ht="32" customHeight="1">
      <c r="A16" s="2"/>
      <c r="B16" s="2"/>
      <c r="C16" s="2"/>
      <c r="D16" s="2"/>
      <c r="E16" s="2"/>
      <c r="F16" s="2"/>
      <c r="G16" s="2"/>
      <c r="H16" s="2"/>
      <c r="I16" s="2"/>
      <c r="J16" s="8" t="s">
        <v>342</v>
      </c>
      <c r="K16" s="10">
        <f>$F$8</f>
        <v>1</v>
      </c>
      <c r="L16" s="11">
        <v>1.0000000000000002</v>
      </c>
      <c r="M16" s="9">
        <f t="shared" si="0"/>
        <v>2.2204460492503131E-16</v>
      </c>
    </row>
    <row r="17" spans="1:13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7" customHeight="1">
      <c r="A19" s="2" t="s">
        <v>343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7" customHeight="1">
      <c r="A24" s="4" t="s">
        <v>122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2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4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5" width="14" customWidth="1"/>
    <col min="6" max="6" width="3" customWidth="1"/>
    <col min="7" max="7" width="31" customWidth="1"/>
    <col min="8" max="9" width="17" customWidth="1"/>
    <col min="10" max="10" width="15" customWidth="1"/>
  </cols>
  <sheetData>
    <row r="1" spans="1:10" ht="35" customHeight="1">
      <c r="A1" s="3" t="s">
        <v>43</v>
      </c>
      <c r="B1" s="2"/>
      <c r="C1" s="2"/>
      <c r="D1" s="2"/>
      <c r="E1" s="2"/>
      <c r="F1" s="2"/>
      <c r="G1" s="2"/>
      <c r="H1" s="2"/>
      <c r="I1" s="2"/>
      <c r="J1" s="2"/>
    </row>
    <row r="2" spans="1:10" ht="27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7" customHeight="1">
      <c r="A3" s="2" t="s">
        <v>308</v>
      </c>
      <c r="B3" s="2"/>
      <c r="C3" s="2"/>
      <c r="D3" s="2"/>
      <c r="E3" s="2"/>
      <c r="F3" s="2"/>
      <c r="G3" s="2"/>
      <c r="H3" s="2"/>
      <c r="I3" s="2"/>
      <c r="J3" s="2"/>
    </row>
    <row r="4" spans="1:10" ht="27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7" customHeight="1">
      <c r="A5" s="4" t="s">
        <v>344</v>
      </c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>
      <c r="A6" s="5" t="s">
        <v>101</v>
      </c>
      <c r="B6" s="5"/>
      <c r="C6" s="5"/>
      <c r="D6" s="5"/>
      <c r="E6" s="5"/>
      <c r="F6" s="5"/>
      <c r="G6" s="5" t="s">
        <v>102</v>
      </c>
      <c r="H6" s="5"/>
      <c r="I6" s="5"/>
      <c r="J6" s="5"/>
    </row>
    <row r="7" spans="1:10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2"/>
      <c r="G7" s="6" t="s">
        <v>110</v>
      </c>
      <c r="H7" s="6" t="s">
        <v>111</v>
      </c>
      <c r="I7" s="6" t="s">
        <v>112</v>
      </c>
      <c r="J7" s="6" t="s">
        <v>113</v>
      </c>
    </row>
    <row r="8" spans="1:10" ht="32" customHeight="1">
      <c r="A8" s="21">
        <v>-20</v>
      </c>
      <c r="B8" s="13">
        <v>0</v>
      </c>
      <c r="C8" s="13">
        <v>8</v>
      </c>
      <c r="D8" s="14" t="s">
        <v>115</v>
      </c>
      <c r="E8" s="15">
        <v>1</v>
      </c>
      <c r="F8" s="2"/>
      <c r="G8" s="8" t="s">
        <v>345</v>
      </c>
      <c r="H8" s="10">
        <f>IF($H$18="missing","missing",IF($H$18&lt;=0,"missing",10*LOG10($H$18)))</f>
        <v>3.0102999566398121</v>
      </c>
      <c r="I8" s="11">
        <v>3.0102999566398121</v>
      </c>
      <c r="J8" s="9">
        <f t="shared" ref="J8:J14" si="0">IF(AND(ISNUMBER(H8),ISNUMBER(I8)),ABS(10^((I8-H8)/10)-1),IF(ISBLANK(I8),"missing export",IF(ISBLANK(H8),"missing input","n/a")))</f>
        <v>0</v>
      </c>
    </row>
    <row r="9" spans="1:10" ht="32" customHeight="1">
      <c r="A9" s="21">
        <v>-20</v>
      </c>
      <c r="B9" s="13">
        <v>0</v>
      </c>
      <c r="C9" s="13">
        <v>9</v>
      </c>
      <c r="D9" s="14" t="s">
        <v>115</v>
      </c>
      <c r="E9" s="15">
        <v>2</v>
      </c>
      <c r="F9" s="2"/>
      <c r="G9" s="8" t="s">
        <v>346</v>
      </c>
      <c r="H9" s="10">
        <f>IF($H$19="missing","missing",IF($H$19&lt;=0,"missing",10*LOG10($H$19)))</f>
        <v>7.7815125038364368</v>
      </c>
      <c r="I9" s="11">
        <v>7.7815125038364368</v>
      </c>
      <c r="J9" s="9">
        <f t="shared" si="0"/>
        <v>0</v>
      </c>
    </row>
    <row r="10" spans="1:10" ht="32" customHeight="1">
      <c r="A10" s="21">
        <v>-20</v>
      </c>
      <c r="B10" s="13">
        <v>0</v>
      </c>
      <c r="C10" s="13">
        <v>10</v>
      </c>
      <c r="D10" s="14" t="s">
        <v>115</v>
      </c>
      <c r="E10" s="15">
        <v>4</v>
      </c>
      <c r="F10" s="2"/>
      <c r="G10" s="8" t="s">
        <v>347</v>
      </c>
      <c r="H10" s="10">
        <f>IF($H$20="missing","missing",IF($H$20&lt;=0,"missing",10*LOG10($H$20)))</f>
        <v>10.791812460476249</v>
      </c>
      <c r="I10" s="11">
        <v>10.791812460476249</v>
      </c>
      <c r="J10" s="9">
        <f t="shared" si="0"/>
        <v>0</v>
      </c>
    </row>
    <row r="11" spans="1:10" ht="32" customHeight="1">
      <c r="A11" s="21">
        <v>-20</v>
      </c>
      <c r="B11" s="13">
        <v>0</v>
      </c>
      <c r="C11" s="13">
        <v>11</v>
      </c>
      <c r="D11" s="14" t="s">
        <v>115</v>
      </c>
      <c r="E11" s="15">
        <v>8</v>
      </c>
      <c r="F11" s="2"/>
      <c r="G11" s="8" t="s">
        <v>348</v>
      </c>
      <c r="H11" s="10">
        <f>IF($H$21="missing","missing",IF($H$21&lt;=0,"missing",10*LOG10($H$21)))</f>
        <v>13.80211241711606</v>
      </c>
      <c r="I11" s="11">
        <v>13.80211241711606</v>
      </c>
      <c r="J11" s="9">
        <f t="shared" si="0"/>
        <v>0</v>
      </c>
    </row>
    <row r="12" spans="1:10" ht="32" customHeight="1">
      <c r="A12" s="21">
        <v>0</v>
      </c>
      <c r="B12" s="13">
        <v>0</v>
      </c>
      <c r="C12" s="13">
        <v>8</v>
      </c>
      <c r="D12" s="14" t="s">
        <v>115</v>
      </c>
      <c r="E12" s="15">
        <v>5</v>
      </c>
      <c r="F12" s="2"/>
      <c r="G12" s="8" t="s">
        <v>349</v>
      </c>
      <c r="H12" s="10">
        <f>IF($H$22="missing","missing",IF($H$22&lt;=0,"missing",10*LOG10($H$22)))</f>
        <v>7.7815125038364368</v>
      </c>
      <c r="I12" s="11">
        <v>7.7815125038364368</v>
      </c>
      <c r="J12" s="9">
        <f t="shared" si="0"/>
        <v>0</v>
      </c>
    </row>
    <row r="13" spans="1:10" ht="32" customHeight="1">
      <c r="A13" s="21">
        <v>0</v>
      </c>
      <c r="B13" s="13">
        <v>0</v>
      </c>
      <c r="C13" s="13">
        <v>9</v>
      </c>
      <c r="D13" s="14" t="s">
        <v>115</v>
      </c>
      <c r="E13" s="15">
        <v>10</v>
      </c>
      <c r="F13" s="2"/>
      <c r="G13" s="8" t="s">
        <v>350</v>
      </c>
      <c r="H13" s="10">
        <f>IF($H$26="missing","missing",IF($H$26&lt;=0,"missing",10*LOG10($H$26)))</f>
        <v>9.6378782734555521</v>
      </c>
      <c r="I13" s="11">
        <v>9.6378782734555521</v>
      </c>
      <c r="J13" s="9">
        <f t="shared" si="0"/>
        <v>0</v>
      </c>
    </row>
    <row r="14" spans="1:10" ht="32" customHeight="1">
      <c r="A14" s="21">
        <v>0</v>
      </c>
      <c r="B14" s="13">
        <v>0</v>
      </c>
      <c r="C14" s="13">
        <v>10</v>
      </c>
      <c r="D14" s="14" t="s">
        <v>115</v>
      </c>
      <c r="E14" s="15">
        <v>20</v>
      </c>
      <c r="F14" s="2"/>
      <c r="G14" s="8" t="s">
        <v>351</v>
      </c>
      <c r="H14" s="10">
        <f>IF($H$27="missing","missing",IF($H$27&lt;=0,"missing",10*LOG10($H$27)))</f>
        <v>10</v>
      </c>
      <c r="I14" s="11">
        <v>10</v>
      </c>
      <c r="J14" s="9">
        <f t="shared" si="0"/>
        <v>0</v>
      </c>
    </row>
    <row r="15" spans="1:10" ht="27" customHeight="1">
      <c r="A15" s="21">
        <v>0</v>
      </c>
      <c r="B15" s="13">
        <v>0</v>
      </c>
      <c r="C15" s="13">
        <v>11</v>
      </c>
      <c r="D15" s="14" t="s">
        <v>115</v>
      </c>
      <c r="E15" s="15">
        <v>40</v>
      </c>
      <c r="F15" s="2"/>
      <c r="G15" s="2"/>
      <c r="H15" s="2"/>
      <c r="I15" s="2"/>
      <c r="J15" s="2"/>
    </row>
    <row r="16" spans="1:10" ht="27" customHeight="1">
      <c r="A16" s="21">
        <v>20</v>
      </c>
      <c r="B16" s="13">
        <v>0</v>
      </c>
      <c r="C16" s="13">
        <v>8</v>
      </c>
      <c r="D16" s="14" t="s">
        <v>115</v>
      </c>
      <c r="E16" s="15">
        <v>0</v>
      </c>
      <c r="F16" s="2"/>
      <c r="G16" s="2"/>
      <c r="H16" s="2"/>
      <c r="I16" s="2"/>
      <c r="J16" s="2"/>
    </row>
    <row r="17" spans="1:10" ht="27" customHeight="1">
      <c r="A17" s="21">
        <v>20</v>
      </c>
      <c r="B17" s="13">
        <v>0</v>
      </c>
      <c r="C17" s="13">
        <v>9</v>
      </c>
      <c r="D17" s="14" t="s">
        <v>115</v>
      </c>
      <c r="E17" s="15">
        <v>6</v>
      </c>
      <c r="F17" s="2"/>
      <c r="G17" s="5" t="s">
        <v>147</v>
      </c>
      <c r="H17" s="2"/>
      <c r="I17" s="2"/>
      <c r="J17" s="2"/>
    </row>
    <row r="18" spans="1:10" ht="32" customHeight="1">
      <c r="A18" s="21">
        <v>20</v>
      </c>
      <c r="B18" s="13">
        <v>0</v>
      </c>
      <c r="C18" s="13">
        <v>10</v>
      </c>
      <c r="D18" s="14" t="s">
        <v>115</v>
      </c>
      <c r="E18" s="15">
        <v>12</v>
      </c>
      <c r="F18" s="2"/>
      <c r="G18" s="8" t="s">
        <v>318</v>
      </c>
      <c r="H18" s="10">
        <f>IF(COUNT($E$8,$E$12,$E$16)=0,"missing",AVERAGE($E$8,$E$12,$E$16))</f>
        <v>2</v>
      </c>
      <c r="I18" s="2"/>
      <c r="J18" s="2"/>
    </row>
    <row r="19" spans="1:10" ht="32" customHeight="1">
      <c r="A19" s="21">
        <v>20</v>
      </c>
      <c r="B19" s="13">
        <v>0</v>
      </c>
      <c r="C19" s="13">
        <v>11</v>
      </c>
      <c r="D19" s="14" t="s">
        <v>115</v>
      </c>
      <c r="E19" s="15">
        <v>24</v>
      </c>
      <c r="F19" s="2"/>
      <c r="G19" s="8" t="s">
        <v>320</v>
      </c>
      <c r="H19" s="10">
        <f>IF(COUNT($E$9,$E$13,$E$17)=0,"missing",AVERAGE($E$9,$E$13,$E$17))</f>
        <v>6</v>
      </c>
      <c r="I19" s="2"/>
      <c r="J19" s="2"/>
    </row>
    <row r="20" spans="1:10" ht="32" customHeight="1">
      <c r="A20" s="2"/>
      <c r="B20" s="2"/>
      <c r="C20" s="2"/>
      <c r="D20" s="2"/>
      <c r="E20" s="2"/>
      <c r="F20" s="2"/>
      <c r="G20" s="8" t="s">
        <v>352</v>
      </c>
      <c r="H20" s="10">
        <f>IF(COUNT($E$10,$E$14,$E$18)=0,"missing",AVERAGE($E$10,$E$14,$E$18))</f>
        <v>12</v>
      </c>
      <c r="I20" s="2"/>
      <c r="J20" s="2"/>
    </row>
    <row r="21" spans="1:10" ht="32" customHeight="1">
      <c r="A21" s="2"/>
      <c r="B21" s="2"/>
      <c r="C21" s="2"/>
      <c r="D21" s="2"/>
      <c r="E21" s="2"/>
      <c r="F21" s="2"/>
      <c r="G21" s="8" t="s">
        <v>353</v>
      </c>
      <c r="H21" s="10">
        <f>IF(COUNT($E$11,$E$15,$E$19)=0,"missing",AVERAGE($E$11,$E$15,$E$19))</f>
        <v>24</v>
      </c>
      <c r="I21" s="2"/>
      <c r="J21" s="2"/>
    </row>
    <row r="22" spans="1:10" ht="32" customHeight="1">
      <c r="A22" s="5" t="s">
        <v>156</v>
      </c>
      <c r="B22" s="2"/>
      <c r="C22" s="2"/>
      <c r="D22" s="2"/>
      <c r="E22" s="2"/>
      <c r="F22" s="2"/>
      <c r="G22" s="8" t="s">
        <v>322</v>
      </c>
      <c r="H22" s="10">
        <f>IF(COUNT($E$9,$E$13,$E$17)=0,"missing",MEDIAN($E$9,$E$13,$E$17))</f>
        <v>6</v>
      </c>
      <c r="I22" s="2"/>
      <c r="J22" s="2"/>
    </row>
    <row r="23" spans="1:10" ht="32" customHeight="1">
      <c r="A23" s="2" t="s">
        <v>317</v>
      </c>
      <c r="B23" s="2"/>
      <c r="C23" s="2"/>
      <c r="D23" s="7">
        <v>90</v>
      </c>
      <c r="E23" s="2"/>
      <c r="F23" s="2"/>
      <c r="G23" s="8" t="s">
        <v>327</v>
      </c>
      <c r="H23" s="10">
        <f>$E$9</f>
        <v>2</v>
      </c>
      <c r="I23" s="2"/>
      <c r="J23" s="2"/>
    </row>
    <row r="24" spans="1:10" ht="32" customHeight="1">
      <c r="A24" s="2"/>
      <c r="B24" s="2"/>
      <c r="C24" s="2"/>
      <c r="D24" s="2"/>
      <c r="E24" s="2"/>
      <c r="F24" s="2"/>
      <c r="G24" s="8" t="s">
        <v>328</v>
      </c>
      <c r="H24" s="10">
        <f>$E$13</f>
        <v>10</v>
      </c>
      <c r="I24" s="2"/>
      <c r="J24" s="2"/>
    </row>
    <row r="25" spans="1:10" ht="32" customHeight="1">
      <c r="A25" s="2"/>
      <c r="B25" s="2"/>
      <c r="C25" s="2"/>
      <c r="D25" s="2"/>
      <c r="E25" s="2"/>
      <c r="F25" s="2"/>
      <c r="G25" s="8" t="s">
        <v>329</v>
      </c>
      <c r="H25" s="10">
        <f>$E$17</f>
        <v>6</v>
      </c>
      <c r="I25" s="2"/>
      <c r="J25" s="2"/>
    </row>
    <row r="26" spans="1:10" ht="32" customHeight="1">
      <c r="A26" s="2" t="s">
        <v>354</v>
      </c>
      <c r="B26" s="2"/>
      <c r="C26" s="2"/>
      <c r="D26" s="2"/>
      <c r="E26" s="2"/>
      <c r="F26" s="2"/>
      <c r="G26" s="8" t="s">
        <v>330</v>
      </c>
      <c r="H26" s="10">
        <f>IF(COUNT($E$9,$E$13,$E$17)=0,"missing",_xlfn.PERCENTILE.INC($H$23:$H$25,$D$23/100))</f>
        <v>9.1999999999999993</v>
      </c>
      <c r="I26" s="2"/>
      <c r="J26" s="2"/>
    </row>
    <row r="27" spans="1:10" ht="32" customHeight="1">
      <c r="A27" s="2"/>
      <c r="B27" s="2"/>
      <c r="C27" s="2"/>
      <c r="D27" s="2"/>
      <c r="E27" s="2"/>
      <c r="F27" s="2"/>
      <c r="G27" s="8" t="s">
        <v>332</v>
      </c>
      <c r="H27" s="10">
        <f>IF(COUNT($E$9,$E$13,$E$17)=0,"missing",MAX($E$9,$E$13,$E$17))</f>
        <v>10</v>
      </c>
      <c r="I27" s="2"/>
      <c r="J27" s="2"/>
    </row>
    <row r="28" spans="1:10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27" customHeight="1">
      <c r="A32" s="4" t="s">
        <v>122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ht="27" customHeight="1">
      <c r="A33" s="4" t="s">
        <v>178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ht="27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355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179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163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12" t="s">
        <v>197</v>
      </c>
      <c r="B8" s="13">
        <v>0</v>
      </c>
      <c r="C8" s="13">
        <v>0</v>
      </c>
      <c r="D8" s="13">
        <v>10</v>
      </c>
      <c r="E8" s="14" t="s">
        <v>115</v>
      </c>
      <c r="F8" s="15">
        <v>1</v>
      </c>
      <c r="G8" s="2"/>
      <c r="H8" s="8" t="s">
        <v>198</v>
      </c>
      <c r="I8" s="10">
        <f>IF(OR($F$8="missing",$F$14="missing"),"missing",$F$8-$F$14)</f>
        <v>0.75</v>
      </c>
      <c r="J8" s="11">
        <v>0.75</v>
      </c>
      <c r="K8" s="9">
        <f t="shared" ref="K8:K13" si="0">IF(AND(ISNUMBER(I8),ISNUMBER(J8)),IF(SIGN(I8)=0,"n/a (zero)",ABS(J8-I8)/ABS(I8)),IF(ISBLANK(J8),"missing export",IF(ISBLANK(I8),"missing input","n/a")))</f>
        <v>0</v>
      </c>
    </row>
    <row r="9" spans="1:11" ht="32" customHeight="1">
      <c r="A9" s="12" t="s">
        <v>197</v>
      </c>
      <c r="B9" s="13">
        <v>1</v>
      </c>
      <c r="C9" s="13">
        <v>0</v>
      </c>
      <c r="D9" s="13">
        <v>10</v>
      </c>
      <c r="E9" s="14" t="s">
        <v>115</v>
      </c>
      <c r="F9" s="15">
        <v>10</v>
      </c>
      <c r="G9" s="2"/>
      <c r="H9" s="8" t="s">
        <v>199</v>
      </c>
      <c r="I9" s="10">
        <f>IF(OR($F$9="missing",$F$15="missing"),"missing",$F$9-$F$15)</f>
        <v>8</v>
      </c>
      <c r="J9" s="11">
        <v>8</v>
      </c>
      <c r="K9" s="9">
        <f t="shared" si="0"/>
        <v>0</v>
      </c>
    </row>
    <row r="10" spans="1:11" ht="32" customHeight="1">
      <c r="A10" s="12" t="s">
        <v>197</v>
      </c>
      <c r="B10" s="13">
        <v>2</v>
      </c>
      <c r="C10" s="13">
        <v>0</v>
      </c>
      <c r="D10" s="13">
        <v>10</v>
      </c>
      <c r="E10" s="14" t="s">
        <v>115</v>
      </c>
      <c r="F10" s="15">
        <v>100</v>
      </c>
      <c r="G10" s="2"/>
      <c r="H10" s="8" t="s">
        <v>200</v>
      </c>
      <c r="I10" s="10">
        <f>IF(OR($F$10="missing",$F$16="missing"),"missing",$F$10-$F$16)</f>
        <v>0</v>
      </c>
      <c r="J10" s="11">
        <v>0</v>
      </c>
      <c r="K10" s="9" t="str">
        <f t="shared" si="0"/>
        <v>n/a (zero)</v>
      </c>
    </row>
    <row r="11" spans="1:11" ht="32" customHeight="1">
      <c r="A11" s="12" t="s">
        <v>197</v>
      </c>
      <c r="B11" s="13">
        <v>3</v>
      </c>
      <c r="C11" s="13">
        <v>0</v>
      </c>
      <c r="D11" s="13">
        <v>10</v>
      </c>
      <c r="E11" s="14" t="s">
        <v>115</v>
      </c>
      <c r="F11" s="15">
        <v>0</v>
      </c>
      <c r="G11" s="2"/>
      <c r="H11" s="8" t="s">
        <v>201</v>
      </c>
      <c r="I11" s="10">
        <f>IF(OR($F$11="missing",$F$17="missing"),"missing",$F$11-$F$17)</f>
        <v>0</v>
      </c>
      <c r="J11" s="11">
        <v>0</v>
      </c>
      <c r="K11" s="9" t="str">
        <f t="shared" si="0"/>
        <v>n/a (zero)</v>
      </c>
    </row>
    <row r="12" spans="1:11" ht="32" customHeight="1">
      <c r="A12" s="12" t="s">
        <v>197</v>
      </c>
      <c r="B12" s="13">
        <v>4</v>
      </c>
      <c r="C12" s="13">
        <v>0</v>
      </c>
      <c r="D12" s="13">
        <v>10</v>
      </c>
      <c r="E12" s="14" t="s">
        <v>115</v>
      </c>
      <c r="F12" s="15" t="s">
        <v>168</v>
      </c>
      <c r="G12" s="2"/>
      <c r="H12" s="8" t="s">
        <v>202</v>
      </c>
      <c r="I12" s="10" t="str">
        <f>IF(OR($F$12="missing",$F$18="missing"),"missing",$F$12-$F$18)</f>
        <v>missing</v>
      </c>
      <c r="J12" s="11" t="s">
        <v>168</v>
      </c>
      <c r="K12" s="9" t="str">
        <f t="shared" si="0"/>
        <v>n/a</v>
      </c>
    </row>
    <row r="13" spans="1:11" ht="32" customHeight="1">
      <c r="A13" s="12" t="s">
        <v>197</v>
      </c>
      <c r="B13" s="13">
        <v>5</v>
      </c>
      <c r="C13" s="13">
        <v>0</v>
      </c>
      <c r="D13" s="13">
        <v>10</v>
      </c>
      <c r="E13" s="14" t="s">
        <v>115</v>
      </c>
      <c r="F13" s="15">
        <v>4</v>
      </c>
      <c r="G13" s="2"/>
      <c r="H13" s="8" t="s">
        <v>203</v>
      </c>
      <c r="I13" s="10" t="str">
        <f>IF(OR($F$13="missing",$F$19="missing"),"missing",$F$13-$F$19)</f>
        <v>missing</v>
      </c>
      <c r="J13" s="11" t="s">
        <v>168</v>
      </c>
      <c r="K13" s="9" t="str">
        <f t="shared" si="0"/>
        <v>n/a</v>
      </c>
    </row>
    <row r="14" spans="1:11" ht="27" customHeight="1">
      <c r="A14" s="12" t="s">
        <v>205</v>
      </c>
      <c r="B14" s="13">
        <v>0</v>
      </c>
      <c r="C14" s="13">
        <v>0</v>
      </c>
      <c r="D14" s="13">
        <v>10</v>
      </c>
      <c r="E14" s="14" t="s">
        <v>115</v>
      </c>
      <c r="F14" s="20">
        <v>0.25</v>
      </c>
      <c r="G14" s="2"/>
      <c r="H14" s="2"/>
      <c r="I14" s="2"/>
      <c r="J14" s="2"/>
      <c r="K14" s="2"/>
    </row>
    <row r="15" spans="1:11" ht="27" customHeight="1">
      <c r="A15" s="12" t="s">
        <v>205</v>
      </c>
      <c r="B15" s="13">
        <v>1</v>
      </c>
      <c r="C15" s="13">
        <v>0</v>
      </c>
      <c r="D15" s="13">
        <v>10</v>
      </c>
      <c r="E15" s="14" t="s">
        <v>115</v>
      </c>
      <c r="F15" s="15">
        <v>2</v>
      </c>
      <c r="G15" s="2"/>
      <c r="H15" s="2"/>
      <c r="I15" s="2"/>
      <c r="J15" s="2"/>
      <c r="K15" s="2"/>
    </row>
    <row r="16" spans="1:11" ht="27" customHeight="1">
      <c r="A16" s="12" t="s">
        <v>205</v>
      </c>
      <c r="B16" s="13">
        <v>2</v>
      </c>
      <c r="C16" s="13">
        <v>0</v>
      </c>
      <c r="D16" s="13">
        <v>10</v>
      </c>
      <c r="E16" s="14" t="s">
        <v>115</v>
      </c>
      <c r="F16" s="15">
        <v>100</v>
      </c>
      <c r="G16" s="2"/>
      <c r="H16" s="2"/>
      <c r="I16" s="2"/>
      <c r="J16" s="2"/>
      <c r="K16" s="2"/>
    </row>
    <row r="17" spans="1:11" ht="27" customHeight="1">
      <c r="A17" s="12" t="s">
        <v>205</v>
      </c>
      <c r="B17" s="13">
        <v>3</v>
      </c>
      <c r="C17" s="13">
        <v>0</v>
      </c>
      <c r="D17" s="13">
        <v>10</v>
      </c>
      <c r="E17" s="14" t="s">
        <v>115</v>
      </c>
      <c r="F17" s="15">
        <v>0</v>
      </c>
      <c r="G17" s="2"/>
      <c r="H17" s="2"/>
      <c r="I17" s="2"/>
      <c r="J17" s="2"/>
      <c r="K17" s="2"/>
    </row>
    <row r="18" spans="1:11" ht="27" customHeight="1">
      <c r="A18" s="12" t="s">
        <v>205</v>
      </c>
      <c r="B18" s="13">
        <v>4</v>
      </c>
      <c r="C18" s="13">
        <v>0</v>
      </c>
      <c r="D18" s="13">
        <v>10</v>
      </c>
      <c r="E18" s="14" t="s">
        <v>115</v>
      </c>
      <c r="F18" s="15">
        <v>3</v>
      </c>
      <c r="G18" s="2"/>
      <c r="H18" s="2"/>
      <c r="I18" s="2"/>
      <c r="J18" s="2"/>
      <c r="K18" s="2"/>
    </row>
    <row r="19" spans="1:11" ht="27" customHeight="1">
      <c r="A19" s="12" t="s">
        <v>205</v>
      </c>
      <c r="B19" s="13">
        <v>5</v>
      </c>
      <c r="C19" s="13">
        <v>0</v>
      </c>
      <c r="D19" s="13">
        <v>10</v>
      </c>
      <c r="E19" s="14" t="s">
        <v>115</v>
      </c>
      <c r="F19" s="15" t="s">
        <v>168</v>
      </c>
      <c r="G19" s="2"/>
      <c r="H19" s="2"/>
      <c r="I19" s="2"/>
      <c r="J19" s="2"/>
      <c r="K19" s="2"/>
    </row>
    <row r="20" spans="1:11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7" customHeight="1">
      <c r="A25" s="2" t="s">
        <v>356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2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355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179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163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12" t="s">
        <v>197</v>
      </c>
      <c r="B8" s="13">
        <v>0</v>
      </c>
      <c r="C8" s="13">
        <v>0</v>
      </c>
      <c r="D8" s="13">
        <v>10</v>
      </c>
      <c r="E8" s="14" t="s">
        <v>115</v>
      </c>
      <c r="F8" s="15">
        <v>1</v>
      </c>
      <c r="G8" s="2"/>
      <c r="H8" s="8" t="s">
        <v>198</v>
      </c>
      <c r="I8" s="10">
        <f>IF(OR($F$8="missing",$F$14="missing"),"missing",$F$8+$F$14)</f>
        <v>1.25</v>
      </c>
      <c r="J8" s="11">
        <v>1.25</v>
      </c>
      <c r="K8" s="9">
        <f t="shared" ref="K8:K13" si="0">IF(AND(ISNUMBER(I8),ISNUMBER(J8)),IF(SIGN(I8)=0,"n/a (zero)",ABS(J8-I8)/ABS(I8)),IF(ISBLANK(J8),"missing export",IF(ISBLANK(I8),"missing input","n/a")))</f>
        <v>0</v>
      </c>
    </row>
    <row r="9" spans="1:11" ht="32" customHeight="1">
      <c r="A9" s="12" t="s">
        <v>197</v>
      </c>
      <c r="B9" s="13">
        <v>1</v>
      </c>
      <c r="C9" s="13">
        <v>0</v>
      </c>
      <c r="D9" s="13">
        <v>10</v>
      </c>
      <c r="E9" s="14" t="s">
        <v>115</v>
      </c>
      <c r="F9" s="15">
        <v>10</v>
      </c>
      <c r="G9" s="2"/>
      <c r="H9" s="8" t="s">
        <v>199</v>
      </c>
      <c r="I9" s="10">
        <f>IF(OR($F$9="missing",$F$15="missing"),"missing",$F$9+$F$15)</f>
        <v>12</v>
      </c>
      <c r="J9" s="11">
        <v>12</v>
      </c>
      <c r="K9" s="9">
        <f t="shared" si="0"/>
        <v>0</v>
      </c>
    </row>
    <row r="10" spans="1:11" ht="32" customHeight="1">
      <c r="A10" s="12" t="s">
        <v>197</v>
      </c>
      <c r="B10" s="13">
        <v>2</v>
      </c>
      <c r="C10" s="13">
        <v>0</v>
      </c>
      <c r="D10" s="13">
        <v>10</v>
      </c>
      <c r="E10" s="14" t="s">
        <v>115</v>
      </c>
      <c r="F10" s="15">
        <v>100</v>
      </c>
      <c r="G10" s="2"/>
      <c r="H10" s="8" t="s">
        <v>200</v>
      </c>
      <c r="I10" s="10">
        <f>IF(OR($F$10="missing",$F$16="missing"),"missing",$F$10+$F$16)</f>
        <v>200</v>
      </c>
      <c r="J10" s="11">
        <v>200</v>
      </c>
      <c r="K10" s="9">
        <f t="shared" si="0"/>
        <v>0</v>
      </c>
    </row>
    <row r="11" spans="1:11" ht="32" customHeight="1">
      <c r="A11" s="12" t="s">
        <v>197</v>
      </c>
      <c r="B11" s="13">
        <v>3</v>
      </c>
      <c r="C11" s="13">
        <v>0</v>
      </c>
      <c r="D11" s="13">
        <v>10</v>
      </c>
      <c r="E11" s="14" t="s">
        <v>115</v>
      </c>
      <c r="F11" s="15">
        <v>0</v>
      </c>
      <c r="G11" s="2"/>
      <c r="H11" s="8" t="s">
        <v>201</v>
      </c>
      <c r="I11" s="10">
        <f>IF(OR($F$11="missing",$F$17="missing"),"missing",$F$11+$F$17)</f>
        <v>0</v>
      </c>
      <c r="J11" s="11">
        <v>0</v>
      </c>
      <c r="K11" s="9" t="str">
        <f t="shared" si="0"/>
        <v>n/a (zero)</v>
      </c>
    </row>
    <row r="12" spans="1:11" ht="32" customHeight="1">
      <c r="A12" s="12" t="s">
        <v>197</v>
      </c>
      <c r="B12" s="13">
        <v>4</v>
      </c>
      <c r="C12" s="13">
        <v>0</v>
      </c>
      <c r="D12" s="13">
        <v>10</v>
      </c>
      <c r="E12" s="14" t="s">
        <v>115</v>
      </c>
      <c r="F12" s="15" t="s">
        <v>168</v>
      </c>
      <c r="G12" s="2"/>
      <c r="H12" s="8" t="s">
        <v>202</v>
      </c>
      <c r="I12" s="10" t="str">
        <f>IF(OR($F$12="missing",$F$18="missing"),"missing",$F$12+$F$18)</f>
        <v>missing</v>
      </c>
      <c r="J12" s="11" t="s">
        <v>168</v>
      </c>
      <c r="K12" s="9" t="str">
        <f t="shared" si="0"/>
        <v>n/a</v>
      </c>
    </row>
    <row r="13" spans="1:11" ht="32" customHeight="1">
      <c r="A13" s="12" t="s">
        <v>197</v>
      </c>
      <c r="B13" s="13">
        <v>5</v>
      </c>
      <c r="C13" s="13">
        <v>0</v>
      </c>
      <c r="D13" s="13">
        <v>10</v>
      </c>
      <c r="E13" s="14" t="s">
        <v>115</v>
      </c>
      <c r="F13" s="15">
        <v>4</v>
      </c>
      <c r="G13" s="2"/>
      <c r="H13" s="8" t="s">
        <v>203</v>
      </c>
      <c r="I13" s="10" t="str">
        <f>IF(OR($F$13="missing",$F$19="missing"),"missing",$F$13+$F$19)</f>
        <v>missing</v>
      </c>
      <c r="J13" s="11" t="s">
        <v>168</v>
      </c>
      <c r="K13" s="9" t="str">
        <f t="shared" si="0"/>
        <v>n/a</v>
      </c>
    </row>
    <row r="14" spans="1:11" ht="27" customHeight="1">
      <c r="A14" s="12" t="s">
        <v>205</v>
      </c>
      <c r="B14" s="13">
        <v>0</v>
      </c>
      <c r="C14" s="13">
        <v>0</v>
      </c>
      <c r="D14" s="13">
        <v>10</v>
      </c>
      <c r="E14" s="14" t="s">
        <v>115</v>
      </c>
      <c r="F14" s="20">
        <v>0.25</v>
      </c>
      <c r="G14" s="2"/>
      <c r="H14" s="2"/>
      <c r="I14" s="2"/>
      <c r="J14" s="2"/>
      <c r="K14" s="2"/>
    </row>
    <row r="15" spans="1:11" ht="27" customHeight="1">
      <c r="A15" s="12" t="s">
        <v>205</v>
      </c>
      <c r="B15" s="13">
        <v>1</v>
      </c>
      <c r="C15" s="13">
        <v>0</v>
      </c>
      <c r="D15" s="13">
        <v>10</v>
      </c>
      <c r="E15" s="14" t="s">
        <v>115</v>
      </c>
      <c r="F15" s="15">
        <v>2</v>
      </c>
      <c r="G15" s="2"/>
      <c r="H15" s="2"/>
      <c r="I15" s="2"/>
      <c r="J15" s="2"/>
      <c r="K15" s="2"/>
    </row>
    <row r="16" spans="1:11" ht="27" customHeight="1">
      <c r="A16" s="12" t="s">
        <v>205</v>
      </c>
      <c r="B16" s="13">
        <v>2</v>
      </c>
      <c r="C16" s="13">
        <v>0</v>
      </c>
      <c r="D16" s="13">
        <v>10</v>
      </c>
      <c r="E16" s="14" t="s">
        <v>115</v>
      </c>
      <c r="F16" s="15">
        <v>100</v>
      </c>
      <c r="G16" s="2"/>
      <c r="H16" s="2"/>
      <c r="I16" s="2"/>
      <c r="J16" s="2"/>
      <c r="K16" s="2"/>
    </row>
    <row r="17" spans="1:11" ht="27" customHeight="1">
      <c r="A17" s="12" t="s">
        <v>205</v>
      </c>
      <c r="B17" s="13">
        <v>3</v>
      </c>
      <c r="C17" s="13">
        <v>0</v>
      </c>
      <c r="D17" s="13">
        <v>10</v>
      </c>
      <c r="E17" s="14" t="s">
        <v>115</v>
      </c>
      <c r="F17" s="15">
        <v>0</v>
      </c>
      <c r="G17" s="2"/>
      <c r="H17" s="2"/>
      <c r="I17" s="2"/>
      <c r="J17" s="2"/>
      <c r="K17" s="2"/>
    </row>
    <row r="18" spans="1:11" ht="27" customHeight="1">
      <c r="A18" s="12" t="s">
        <v>205</v>
      </c>
      <c r="B18" s="13">
        <v>4</v>
      </c>
      <c r="C18" s="13">
        <v>0</v>
      </c>
      <c r="D18" s="13">
        <v>10</v>
      </c>
      <c r="E18" s="14" t="s">
        <v>115</v>
      </c>
      <c r="F18" s="15">
        <v>3</v>
      </c>
      <c r="G18" s="2"/>
      <c r="H18" s="2"/>
      <c r="I18" s="2"/>
      <c r="J18" s="2"/>
      <c r="K18" s="2"/>
    </row>
    <row r="19" spans="1:11" ht="27" customHeight="1">
      <c r="A19" s="12" t="s">
        <v>205</v>
      </c>
      <c r="B19" s="13">
        <v>5</v>
      </c>
      <c r="C19" s="13">
        <v>0</v>
      </c>
      <c r="D19" s="13">
        <v>10</v>
      </c>
      <c r="E19" s="14" t="s">
        <v>115</v>
      </c>
      <c r="F19" s="15" t="s">
        <v>168</v>
      </c>
      <c r="G19" s="2"/>
      <c r="H19" s="2"/>
      <c r="I19" s="2"/>
      <c r="J19" s="2"/>
      <c r="K19" s="2"/>
    </row>
    <row r="20" spans="1:11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7" customHeight="1">
      <c r="A25" s="2" t="s">
        <v>357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2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7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359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136</v>
      </c>
      <c r="B7" s="6" t="s">
        <v>104</v>
      </c>
      <c r="C7" s="6" t="s">
        <v>105</v>
      </c>
      <c r="D7" s="6" t="s">
        <v>137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360</v>
      </c>
      <c r="B8" s="13">
        <v>-4</v>
      </c>
      <c r="C8" s="13">
        <v>0</v>
      </c>
      <c r="D8" s="19">
        <v>9000000000</v>
      </c>
      <c r="E8" s="14" t="s">
        <v>115</v>
      </c>
      <c r="F8" s="13">
        <v>4</v>
      </c>
      <c r="G8" s="15">
        <v>0</v>
      </c>
      <c r="H8" s="2"/>
      <c r="I8" s="8" t="s">
        <v>361</v>
      </c>
      <c r="J8" s="10">
        <f>$F$8</f>
        <v>4</v>
      </c>
      <c r="K8" s="11">
        <v>4</v>
      </c>
      <c r="L8" s="9">
        <f t="shared" ref="L8:L15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362</v>
      </c>
      <c r="B9" s="13">
        <v>0</v>
      </c>
      <c r="C9" s="13">
        <v>0</v>
      </c>
      <c r="D9" s="19">
        <v>10000000000</v>
      </c>
      <c r="E9" s="14" t="s">
        <v>115</v>
      </c>
      <c r="F9" s="13">
        <v>4</v>
      </c>
      <c r="G9" s="15">
        <v>0</v>
      </c>
      <c r="H9" s="2"/>
      <c r="I9" s="8" t="s">
        <v>363</v>
      </c>
      <c r="J9" s="10">
        <f>$F$14/(2*($D$10-$D$8))</f>
        <v>7.4948114499999996E-2</v>
      </c>
      <c r="K9" s="11">
        <v>7.4948114499999996E-2</v>
      </c>
      <c r="L9" s="9">
        <f t="shared" si="0"/>
        <v>0</v>
      </c>
    </row>
    <row r="10" spans="1:12" ht="32" customHeight="1">
      <c r="A10" s="12" t="s">
        <v>364</v>
      </c>
      <c r="B10" s="13">
        <v>4</v>
      </c>
      <c r="C10" s="13">
        <v>0</v>
      </c>
      <c r="D10" s="19">
        <v>11000000000</v>
      </c>
      <c r="E10" s="14" t="s">
        <v>115</v>
      </c>
      <c r="F10" s="13">
        <v>4</v>
      </c>
      <c r="G10" s="15">
        <v>0</v>
      </c>
      <c r="H10" s="2"/>
      <c r="I10" s="8" t="s">
        <v>365</v>
      </c>
      <c r="J10" s="10">
        <f>$F$14/(($D$8+$D$10)/2)/(2*RADIANS($B$10-$B$8))</f>
        <v>0.10735526608283119</v>
      </c>
      <c r="K10" s="11">
        <v>0.10735526608283119</v>
      </c>
      <c r="L10" s="9">
        <f t="shared" si="0"/>
        <v>0</v>
      </c>
    </row>
    <row r="11" spans="1:12" ht="32" customHeight="1">
      <c r="A11" s="2"/>
      <c r="B11" s="2"/>
      <c r="C11" s="2"/>
      <c r="D11" s="2"/>
      <c r="E11" s="2"/>
      <c r="F11" s="2"/>
      <c r="G11" s="2"/>
      <c r="H11" s="2"/>
      <c r="I11" s="8" t="s">
        <v>366</v>
      </c>
      <c r="J11" s="10">
        <f>$F$14/(4*$F$15)</f>
        <v>1.1991698319999999</v>
      </c>
      <c r="K11" s="11">
        <v>1.1991698319999999</v>
      </c>
      <c r="L11" s="9">
        <f t="shared" si="0"/>
        <v>0</v>
      </c>
    </row>
    <row r="12" spans="1:12" ht="32" customHeight="1">
      <c r="A12" s="2"/>
      <c r="B12" s="2"/>
      <c r="C12" s="2"/>
      <c r="D12" s="2"/>
      <c r="E12" s="2"/>
      <c r="F12" s="2"/>
      <c r="G12" s="2"/>
      <c r="H12" s="2"/>
      <c r="I12" s="8" t="s">
        <v>367</v>
      </c>
      <c r="J12" s="10">
        <f>$F$8</f>
        <v>4</v>
      </c>
      <c r="K12" s="11">
        <v>4</v>
      </c>
      <c r="L12" s="9">
        <f t="shared" si="0"/>
        <v>0</v>
      </c>
    </row>
    <row r="13" spans="1:12" ht="32" customHeight="1">
      <c r="A13" s="5" t="s">
        <v>156</v>
      </c>
      <c r="B13" s="2"/>
      <c r="C13" s="2"/>
      <c r="D13" s="2"/>
      <c r="E13" s="2"/>
      <c r="F13" s="2"/>
      <c r="G13" s="2"/>
      <c r="H13" s="2"/>
      <c r="I13" s="8" t="s">
        <v>368</v>
      </c>
      <c r="J13" s="10">
        <f>$F$14/(2*($J$20-$D$8))</f>
        <v>7.5626110675126881E-2</v>
      </c>
      <c r="K13" s="11">
        <v>7.5626110675126881E-2</v>
      </c>
      <c r="L13" s="9">
        <f t="shared" si="0"/>
        <v>0</v>
      </c>
    </row>
    <row r="14" spans="1:12" ht="32" customHeight="1">
      <c r="A14" s="2" t="s">
        <v>157</v>
      </c>
      <c r="B14" s="2"/>
      <c r="C14" s="2"/>
      <c r="D14" s="2"/>
      <c r="E14" s="2"/>
      <c r="F14" s="7">
        <v>299792458</v>
      </c>
      <c r="G14" s="2"/>
      <c r="H14" s="2"/>
      <c r="I14" s="8" t="s">
        <v>369</v>
      </c>
      <c r="J14" s="10">
        <f>$F$14/(4*$J$19)</f>
        <v>0.1193805797627364</v>
      </c>
      <c r="K14" s="11">
        <v>0.1193805797627364</v>
      </c>
      <c r="L14" s="9">
        <f t="shared" si="0"/>
        <v>0</v>
      </c>
    </row>
    <row r="15" spans="1:12" ht="32" customHeight="1">
      <c r="A15" s="2" t="s">
        <v>370</v>
      </c>
      <c r="B15" s="2"/>
      <c r="C15" s="2"/>
      <c r="D15" s="2"/>
      <c r="E15" s="2"/>
      <c r="F15" s="7">
        <v>62500000</v>
      </c>
      <c r="G15" s="2"/>
      <c r="H15" s="2"/>
      <c r="I15" s="8" t="s">
        <v>371</v>
      </c>
      <c r="J15" s="10">
        <f>$F$14*($F$16-1)/(4*($J$20-$D$8))</f>
        <v>1.2100177708020301</v>
      </c>
      <c r="K15" s="11">
        <v>1.2100177708020301</v>
      </c>
      <c r="L15" s="9">
        <f t="shared" si="0"/>
        <v>0</v>
      </c>
    </row>
    <row r="16" spans="1:12" ht="27" customHeight="1">
      <c r="A16" s="2" t="s">
        <v>372</v>
      </c>
      <c r="B16" s="2"/>
      <c r="C16" s="2"/>
      <c r="D16" s="2"/>
      <c r="E16" s="2"/>
      <c r="F16" s="7">
        <v>33</v>
      </c>
      <c r="G16" s="2"/>
      <c r="H16" s="2"/>
      <c r="I16" s="2"/>
      <c r="J16" s="2"/>
      <c r="K16" s="2"/>
      <c r="L16" s="2"/>
    </row>
    <row r="17" spans="1:12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5" t="s">
        <v>147</v>
      </c>
      <c r="J18" s="2"/>
      <c r="K18" s="2"/>
      <c r="L18" s="2"/>
    </row>
    <row r="19" spans="1:12" ht="32" customHeight="1">
      <c r="A19" s="2" t="s">
        <v>373</v>
      </c>
      <c r="B19" s="2"/>
      <c r="C19" s="2"/>
      <c r="D19" s="2"/>
      <c r="E19" s="2"/>
      <c r="F19" s="2"/>
      <c r="G19" s="2"/>
      <c r="H19" s="2"/>
      <c r="I19" s="8" t="s">
        <v>374</v>
      </c>
      <c r="J19" s="17">
        <f>$D$8*SIN(RADIANS(($B$10-$B$8)/2))</f>
        <v>627808263.6971277</v>
      </c>
      <c r="K19" s="2"/>
      <c r="L19" s="2"/>
    </row>
    <row r="20" spans="1:12" ht="32" customHeight="1">
      <c r="A20" s="2"/>
      <c r="B20" s="2"/>
      <c r="C20" s="2"/>
      <c r="D20" s="2"/>
      <c r="E20" s="2"/>
      <c r="F20" s="2"/>
      <c r="G20" s="2"/>
      <c r="H20" s="2"/>
      <c r="I20" s="8" t="s">
        <v>375</v>
      </c>
      <c r="J20" s="17">
        <f>SQRT($D$10^2-$J$19^2)</f>
        <v>10982069785.975391</v>
      </c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4" t="s">
        <v>122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7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376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377</v>
      </c>
      <c r="B8" s="13">
        <v>0</v>
      </c>
      <c r="C8" s="13">
        <v>0</v>
      </c>
      <c r="D8" s="13">
        <v>10</v>
      </c>
      <c r="E8" s="14" t="s">
        <v>115</v>
      </c>
      <c r="F8" s="13">
        <v>1</v>
      </c>
      <c r="G8" s="15">
        <v>0</v>
      </c>
      <c r="H8" s="2"/>
      <c r="I8" s="8" t="s">
        <v>378</v>
      </c>
      <c r="J8" s="10">
        <f>$F$9</f>
        <v>4</v>
      </c>
      <c r="K8" s="11">
        <v>4</v>
      </c>
      <c r="L8" s="9">
        <f t="shared" ref="L8:L15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377</v>
      </c>
      <c r="B9" s="13">
        <v>10</v>
      </c>
      <c r="C9" s="13">
        <v>0</v>
      </c>
      <c r="D9" s="13">
        <v>10</v>
      </c>
      <c r="E9" s="14" t="s">
        <v>115</v>
      </c>
      <c r="F9" s="13">
        <v>4</v>
      </c>
      <c r="G9" s="15">
        <v>0</v>
      </c>
      <c r="H9" s="2"/>
      <c r="I9" s="8" t="s">
        <v>379</v>
      </c>
      <c r="J9" s="10">
        <f>$F$11</f>
        <v>16</v>
      </c>
      <c r="K9" s="11">
        <v>16</v>
      </c>
      <c r="L9" s="9">
        <f t="shared" si="0"/>
        <v>0</v>
      </c>
    </row>
    <row r="10" spans="1:12" ht="32" customHeight="1">
      <c r="A10" s="12" t="s">
        <v>377</v>
      </c>
      <c r="B10" s="13">
        <v>20</v>
      </c>
      <c r="C10" s="13">
        <v>0</v>
      </c>
      <c r="D10" s="13">
        <v>10</v>
      </c>
      <c r="E10" s="14" t="s">
        <v>115</v>
      </c>
      <c r="F10" s="13">
        <v>0</v>
      </c>
      <c r="G10" s="15">
        <v>0</v>
      </c>
      <c r="H10" s="2"/>
      <c r="I10" s="8" t="s">
        <v>380</v>
      </c>
      <c r="J10" s="10">
        <f>AVERAGE($F$9,$F$11)</f>
        <v>10</v>
      </c>
      <c r="K10" s="11">
        <v>10</v>
      </c>
      <c r="L10" s="9">
        <f t="shared" si="0"/>
        <v>0</v>
      </c>
    </row>
    <row r="11" spans="1:12" ht="32" customHeight="1">
      <c r="A11" s="12" t="s">
        <v>381</v>
      </c>
      <c r="B11" s="13">
        <v>10</v>
      </c>
      <c r="C11" s="13">
        <v>0</v>
      </c>
      <c r="D11" s="13">
        <v>10</v>
      </c>
      <c r="E11" s="14" t="s">
        <v>115</v>
      </c>
      <c r="F11" s="13">
        <v>16</v>
      </c>
      <c r="G11" s="15">
        <v>180</v>
      </c>
      <c r="H11" s="2"/>
      <c r="I11" s="8" t="s">
        <v>382</v>
      </c>
      <c r="J11" s="10">
        <f>$J$19^2+$J$20^2</f>
        <v>1</v>
      </c>
      <c r="K11" s="11">
        <v>1</v>
      </c>
      <c r="L11" s="9">
        <f t="shared" si="0"/>
        <v>0</v>
      </c>
    </row>
    <row r="12" spans="1:12" ht="32" customHeight="1">
      <c r="A12" s="12" t="s">
        <v>381</v>
      </c>
      <c r="B12" s="13">
        <v>20</v>
      </c>
      <c r="C12" s="13">
        <v>0</v>
      </c>
      <c r="D12" s="13">
        <v>10</v>
      </c>
      <c r="E12" s="14" t="s">
        <v>115</v>
      </c>
      <c r="F12" s="13" t="s">
        <v>168</v>
      </c>
      <c r="G12" s="15" t="s">
        <v>168</v>
      </c>
      <c r="H12" s="2"/>
      <c r="I12" s="8" t="s">
        <v>383</v>
      </c>
      <c r="J12" s="10">
        <f>$B$14</f>
        <v>40</v>
      </c>
      <c r="K12" s="11">
        <v>40</v>
      </c>
      <c r="L12" s="9">
        <f t="shared" si="0"/>
        <v>0</v>
      </c>
    </row>
    <row r="13" spans="1:12" ht="32" customHeight="1">
      <c r="A13" s="12" t="s">
        <v>381</v>
      </c>
      <c r="B13" s="13">
        <v>30</v>
      </c>
      <c r="C13" s="13">
        <v>0</v>
      </c>
      <c r="D13" s="13">
        <v>10</v>
      </c>
      <c r="E13" s="14" t="s">
        <v>115</v>
      </c>
      <c r="F13" s="13">
        <v>9</v>
      </c>
      <c r="G13" s="15">
        <v>90</v>
      </c>
      <c r="H13" s="2"/>
      <c r="I13" s="8" t="s">
        <v>384</v>
      </c>
      <c r="J13" s="10">
        <f>$F$14</f>
        <v>7</v>
      </c>
      <c r="K13" s="11">
        <v>7.0000000000000018</v>
      </c>
      <c r="L13" s="9">
        <f t="shared" si="0"/>
        <v>2.5376526277146434E-16</v>
      </c>
    </row>
    <row r="14" spans="1:12" ht="32" customHeight="1">
      <c r="A14" s="12" t="s">
        <v>385</v>
      </c>
      <c r="B14" s="13">
        <v>40</v>
      </c>
      <c r="C14" s="13">
        <v>0</v>
      </c>
      <c r="D14" s="13">
        <v>10</v>
      </c>
      <c r="E14" s="14" t="s">
        <v>115</v>
      </c>
      <c r="F14" s="13">
        <v>7</v>
      </c>
      <c r="G14" s="15">
        <v>-150</v>
      </c>
      <c r="H14" s="2"/>
      <c r="I14" s="8" t="s">
        <v>386</v>
      </c>
      <c r="J14" s="10">
        <f>$B$15</f>
        <v>50</v>
      </c>
      <c r="K14" s="11">
        <v>50</v>
      </c>
      <c r="L14" s="9">
        <f t="shared" si="0"/>
        <v>0</v>
      </c>
    </row>
    <row r="15" spans="1:12" ht="32" customHeight="1">
      <c r="A15" s="12" t="s">
        <v>385</v>
      </c>
      <c r="B15" s="13">
        <v>50</v>
      </c>
      <c r="C15" s="13">
        <v>0</v>
      </c>
      <c r="D15" s="13">
        <v>10</v>
      </c>
      <c r="E15" s="14" t="s">
        <v>115</v>
      </c>
      <c r="F15" s="13">
        <v>8</v>
      </c>
      <c r="G15" s="15">
        <v>-137</v>
      </c>
      <c r="H15" s="2"/>
      <c r="I15" s="8" t="s">
        <v>387</v>
      </c>
      <c r="J15" s="10">
        <f>$F$15</f>
        <v>8</v>
      </c>
      <c r="K15" s="11">
        <v>8</v>
      </c>
      <c r="L15" s="9">
        <f t="shared" si="0"/>
        <v>0</v>
      </c>
    </row>
    <row r="16" spans="1:12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5" t="s">
        <v>147</v>
      </c>
      <c r="J18" s="2"/>
      <c r="K18" s="2"/>
      <c r="L18" s="2"/>
    </row>
    <row r="19" spans="1:12" ht="32" customHeight="1">
      <c r="A19" s="2"/>
      <c r="B19" s="2"/>
      <c r="C19" s="2"/>
      <c r="D19" s="2"/>
      <c r="E19" s="2"/>
      <c r="F19" s="2"/>
      <c r="G19" s="2"/>
      <c r="H19" s="2"/>
      <c r="I19" s="8" t="s">
        <v>388</v>
      </c>
      <c r="J19" s="10">
        <f>(SQRT($F$9)*COS(RADIANS($G$9))+SQRT($F$11)*COS(RADIANS($G$11)))/2</f>
        <v>-1</v>
      </c>
      <c r="K19" s="2"/>
      <c r="L19" s="2"/>
    </row>
    <row r="20" spans="1:12" ht="32" customHeight="1">
      <c r="A20" s="2"/>
      <c r="B20" s="2"/>
      <c r="C20" s="2"/>
      <c r="D20" s="2"/>
      <c r="E20" s="2"/>
      <c r="F20" s="2"/>
      <c r="G20" s="2"/>
      <c r="H20" s="2"/>
      <c r="I20" s="8" t="s">
        <v>389</v>
      </c>
      <c r="J20" s="17">
        <f>(SQRT($F$9)*SIN(RADIANS($G$9))+SQRT($F$11)*SIN(RADIANS($G$11)))/2</f>
        <v>2.45029690981724E-16</v>
      </c>
      <c r="K20" s="2"/>
      <c r="L20" s="2"/>
    </row>
    <row r="21" spans="1:12" ht="27" customHeight="1">
      <c r="A21" s="2" t="s">
        <v>390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4" t="s">
        <v>122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6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391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392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163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12" t="s">
        <v>393</v>
      </c>
      <c r="B8" s="13">
        <v>0</v>
      </c>
      <c r="C8" s="13">
        <v>0</v>
      </c>
      <c r="D8" s="13">
        <v>10</v>
      </c>
      <c r="E8" s="14" t="s">
        <v>115</v>
      </c>
      <c r="F8" s="15">
        <v>1</v>
      </c>
      <c r="G8" s="2"/>
      <c r="H8" s="8" t="s">
        <v>394</v>
      </c>
      <c r="I8" s="10">
        <f>MEDIAN($F$11,$F$8,$F$9)</f>
        <v>4</v>
      </c>
      <c r="J8" s="11">
        <v>4</v>
      </c>
      <c r="K8" s="9">
        <f t="shared" ref="K8:K16" si="0">IF(AND(ISNUMBER(I8),ISNUMBER(J8)),IF(SIGN(I8)=0,"n/a (zero)",ABS(J8-I8)/ABS(I8)),IF(ISBLANK(J8),"missing export",IF(ISBLANK(I8),"missing input","n/a")))</f>
        <v>0</v>
      </c>
    </row>
    <row r="9" spans="1:11" ht="32" customHeight="1">
      <c r="A9" s="12" t="s">
        <v>393</v>
      </c>
      <c r="B9" s="13">
        <v>90</v>
      </c>
      <c r="C9" s="13">
        <v>0</v>
      </c>
      <c r="D9" s="13">
        <v>10</v>
      </c>
      <c r="E9" s="14" t="s">
        <v>115</v>
      </c>
      <c r="F9" s="15">
        <v>4</v>
      </c>
      <c r="G9" s="2"/>
      <c r="H9" s="8" t="s">
        <v>395</v>
      </c>
      <c r="I9" s="10">
        <f>MEDIAN($F$8,$F$9,$F$10)</f>
        <v>4</v>
      </c>
      <c r="J9" s="11">
        <v>4</v>
      </c>
      <c r="K9" s="9">
        <f t="shared" si="0"/>
        <v>0</v>
      </c>
    </row>
    <row r="10" spans="1:11" ht="32" customHeight="1">
      <c r="A10" s="12" t="s">
        <v>393</v>
      </c>
      <c r="B10" s="13">
        <v>180</v>
      </c>
      <c r="C10" s="13">
        <v>0</v>
      </c>
      <c r="D10" s="13">
        <v>10</v>
      </c>
      <c r="E10" s="14" t="s">
        <v>115</v>
      </c>
      <c r="F10" s="15">
        <v>9</v>
      </c>
      <c r="G10" s="2"/>
      <c r="H10" s="8" t="s">
        <v>396</v>
      </c>
      <c r="I10" s="10">
        <f>MEDIAN($F$9,$F$10,$F$11)</f>
        <v>9</v>
      </c>
      <c r="J10" s="11">
        <v>9</v>
      </c>
      <c r="K10" s="9">
        <f t="shared" si="0"/>
        <v>0</v>
      </c>
    </row>
    <row r="11" spans="1:11" ht="32" customHeight="1">
      <c r="A11" s="12" t="s">
        <v>393</v>
      </c>
      <c r="B11" s="13">
        <v>270</v>
      </c>
      <c r="C11" s="13">
        <v>0</v>
      </c>
      <c r="D11" s="13">
        <v>10</v>
      </c>
      <c r="E11" s="14" t="s">
        <v>115</v>
      </c>
      <c r="F11" s="15">
        <v>16</v>
      </c>
      <c r="G11" s="2"/>
      <c r="H11" s="8" t="s">
        <v>397</v>
      </c>
      <c r="I11" s="10">
        <f>MEDIAN($F$10,$F$11,$F$8)</f>
        <v>9</v>
      </c>
      <c r="J11" s="11">
        <v>9</v>
      </c>
      <c r="K11" s="9">
        <f t="shared" si="0"/>
        <v>0</v>
      </c>
    </row>
    <row r="12" spans="1:11" ht="32" customHeight="1">
      <c r="A12" s="12" t="s">
        <v>393</v>
      </c>
      <c r="B12" s="13">
        <v>360</v>
      </c>
      <c r="C12" s="13">
        <v>0</v>
      </c>
      <c r="D12" s="13">
        <v>10</v>
      </c>
      <c r="E12" s="14" t="s">
        <v>115</v>
      </c>
      <c r="F12" s="15">
        <v>1</v>
      </c>
      <c r="G12" s="2"/>
      <c r="H12" s="8" t="s">
        <v>398</v>
      </c>
      <c r="I12" s="10">
        <f>IF(COUNT($F$13,$F$14)=0,"missing",MEDIAN($F$13,$F$14))</f>
        <v>1</v>
      </c>
      <c r="J12" s="11">
        <v>1</v>
      </c>
      <c r="K12" s="9">
        <f t="shared" si="0"/>
        <v>0</v>
      </c>
    </row>
    <row r="13" spans="1:11" ht="32" customHeight="1">
      <c r="A13" s="12" t="s">
        <v>399</v>
      </c>
      <c r="B13" s="13">
        <v>0</v>
      </c>
      <c r="C13" s="13">
        <v>0</v>
      </c>
      <c r="D13" s="13">
        <v>10</v>
      </c>
      <c r="E13" s="14" t="s">
        <v>115</v>
      </c>
      <c r="F13" s="15">
        <v>1</v>
      </c>
      <c r="G13" s="2"/>
      <c r="H13" s="8" t="s">
        <v>400</v>
      </c>
      <c r="I13" s="10" t="str">
        <f>IF(COUNT($F$14)=0,"missing",MEDIAN($F$14))</f>
        <v>missing</v>
      </c>
      <c r="J13" s="11" t="s">
        <v>168</v>
      </c>
      <c r="K13" s="9" t="str">
        <f t="shared" si="0"/>
        <v>n/a</v>
      </c>
    </row>
    <row r="14" spans="1:11" ht="32" customHeight="1">
      <c r="A14" s="12" t="s">
        <v>399</v>
      </c>
      <c r="B14" s="13">
        <v>20</v>
      </c>
      <c r="C14" s="13">
        <v>0</v>
      </c>
      <c r="D14" s="13">
        <v>10</v>
      </c>
      <c r="E14" s="14" t="s">
        <v>115</v>
      </c>
      <c r="F14" s="15" t="s">
        <v>168</v>
      </c>
      <c r="G14" s="2"/>
      <c r="H14" s="8" t="s">
        <v>401</v>
      </c>
      <c r="I14" s="10" t="str">
        <f>"missing"</f>
        <v>missing</v>
      </c>
      <c r="J14" s="11" t="s">
        <v>168</v>
      </c>
      <c r="K14" s="9" t="str">
        <f t="shared" si="0"/>
        <v>n/a</v>
      </c>
    </row>
    <row r="15" spans="1:11" ht="32" customHeight="1">
      <c r="A15" s="12" t="s">
        <v>399</v>
      </c>
      <c r="B15" s="13">
        <v>80</v>
      </c>
      <c r="C15" s="13">
        <v>0</v>
      </c>
      <c r="D15" s="13">
        <v>10</v>
      </c>
      <c r="E15" s="14" t="s">
        <v>115</v>
      </c>
      <c r="F15" s="15">
        <v>9</v>
      </c>
      <c r="G15" s="2"/>
      <c r="H15" s="8" t="s">
        <v>402</v>
      </c>
      <c r="I15" s="10">
        <f>IF(COUNT($F$15)=0,"missing",MEDIAN($F$15))</f>
        <v>9</v>
      </c>
      <c r="J15" s="11">
        <v>9</v>
      </c>
      <c r="K15" s="9">
        <f t="shared" si="0"/>
        <v>0</v>
      </c>
    </row>
    <row r="16" spans="1:11" ht="32" customHeight="1">
      <c r="A16" s="12" t="s">
        <v>399</v>
      </c>
      <c r="B16" s="13">
        <v>100</v>
      </c>
      <c r="C16" s="13">
        <v>0</v>
      </c>
      <c r="D16" s="13">
        <v>10</v>
      </c>
      <c r="E16" s="14" t="s">
        <v>115</v>
      </c>
      <c r="F16" s="15">
        <v>16</v>
      </c>
      <c r="G16" s="2"/>
      <c r="H16" s="8" t="s">
        <v>403</v>
      </c>
      <c r="I16" s="10">
        <f>IF(COUNT($F$15,$F$16)=0,"missing",MEDIAN($F$15,$F$16))</f>
        <v>12.5</v>
      </c>
      <c r="J16" s="11">
        <v>12.5</v>
      </c>
      <c r="K16" s="9">
        <f t="shared" si="0"/>
        <v>0</v>
      </c>
    </row>
    <row r="17" spans="1:11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7" customHeight="1">
      <c r="A22" s="2" t="s">
        <v>404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7" customHeight="1">
      <c r="A24" s="4" t="s">
        <v>122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2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4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405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220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3">
        <v>-10</v>
      </c>
      <c r="C8" s="13">
        <v>-5</v>
      </c>
      <c r="D8" s="13">
        <v>10</v>
      </c>
      <c r="E8" s="14" t="s">
        <v>115</v>
      </c>
      <c r="F8" s="13">
        <v>1</v>
      </c>
      <c r="G8" s="15">
        <v>-150</v>
      </c>
      <c r="H8" s="2"/>
      <c r="I8" s="8" t="s">
        <v>116</v>
      </c>
      <c r="J8" s="10">
        <f>2*$F$17-$B$12</f>
        <v>-10</v>
      </c>
      <c r="K8" s="11">
        <v>-10</v>
      </c>
      <c r="L8" s="9">
        <f t="shared" ref="L8:L13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119</v>
      </c>
      <c r="B9" s="13">
        <v>-10</v>
      </c>
      <c r="C9" s="13">
        <v>5</v>
      </c>
      <c r="D9" s="13">
        <v>10</v>
      </c>
      <c r="E9" s="14" t="s">
        <v>115</v>
      </c>
      <c r="F9" s="13">
        <v>2</v>
      </c>
      <c r="G9" s="15">
        <v>-137</v>
      </c>
      <c r="H9" s="2"/>
      <c r="I9" s="8" t="s">
        <v>117</v>
      </c>
      <c r="J9" s="10" t="str">
        <f>$F$12</f>
        <v>missing</v>
      </c>
      <c r="K9" s="11" t="s">
        <v>168</v>
      </c>
      <c r="L9" s="9" t="str">
        <f t="shared" si="0"/>
        <v>n/a</v>
      </c>
    </row>
    <row r="10" spans="1:12" ht="32" customHeight="1">
      <c r="A10" s="12" t="s">
        <v>119</v>
      </c>
      <c r="B10" s="13">
        <v>5</v>
      </c>
      <c r="C10" s="13">
        <v>-5</v>
      </c>
      <c r="D10" s="13">
        <v>10</v>
      </c>
      <c r="E10" s="14" t="s">
        <v>115</v>
      </c>
      <c r="F10" s="13">
        <v>0</v>
      </c>
      <c r="G10" s="15">
        <v>-124</v>
      </c>
      <c r="H10" s="2"/>
      <c r="I10" s="8" t="s">
        <v>305</v>
      </c>
      <c r="J10" s="10">
        <f>2*$F$17-$B$10</f>
        <v>25</v>
      </c>
      <c r="K10" s="11">
        <v>25</v>
      </c>
      <c r="L10" s="9">
        <f t="shared" si="0"/>
        <v>0</v>
      </c>
    </row>
    <row r="11" spans="1:12" ht="32" customHeight="1">
      <c r="A11" s="12" t="s">
        <v>119</v>
      </c>
      <c r="B11" s="13">
        <v>5</v>
      </c>
      <c r="C11" s="13">
        <v>5</v>
      </c>
      <c r="D11" s="13">
        <v>10</v>
      </c>
      <c r="E11" s="14" t="s">
        <v>115</v>
      </c>
      <c r="F11" s="13">
        <v>4</v>
      </c>
      <c r="G11" s="15">
        <v>-111</v>
      </c>
      <c r="H11" s="2"/>
      <c r="I11" s="8" t="s">
        <v>294</v>
      </c>
      <c r="J11" s="10">
        <f>$F$10</f>
        <v>0</v>
      </c>
      <c r="K11" s="11">
        <v>0</v>
      </c>
      <c r="L11" s="9" t="str">
        <f t="shared" si="0"/>
        <v>n/a (zero)</v>
      </c>
    </row>
    <row r="12" spans="1:12" ht="32" customHeight="1">
      <c r="A12" s="12" t="s">
        <v>119</v>
      </c>
      <c r="B12" s="13">
        <v>40</v>
      </c>
      <c r="C12" s="13">
        <v>-5</v>
      </c>
      <c r="D12" s="13">
        <v>10</v>
      </c>
      <c r="E12" s="14" t="s">
        <v>115</v>
      </c>
      <c r="F12" s="13" t="s">
        <v>168</v>
      </c>
      <c r="G12" s="15">
        <v>-98</v>
      </c>
      <c r="H12" s="2"/>
      <c r="I12" s="8" t="s">
        <v>406</v>
      </c>
      <c r="J12" s="10">
        <f>2*$F$17-$B$8</f>
        <v>40</v>
      </c>
      <c r="K12" s="11">
        <v>40</v>
      </c>
      <c r="L12" s="9">
        <f t="shared" si="0"/>
        <v>0</v>
      </c>
    </row>
    <row r="13" spans="1:12" ht="32" customHeight="1">
      <c r="A13" s="12" t="s">
        <v>119</v>
      </c>
      <c r="B13" s="13">
        <v>40</v>
      </c>
      <c r="C13" s="13">
        <v>5</v>
      </c>
      <c r="D13" s="13">
        <v>10</v>
      </c>
      <c r="E13" s="14" t="s">
        <v>115</v>
      </c>
      <c r="F13" s="13">
        <v>6</v>
      </c>
      <c r="G13" s="15">
        <v>-85</v>
      </c>
      <c r="H13" s="2"/>
      <c r="I13" s="8" t="s">
        <v>296</v>
      </c>
      <c r="J13" s="10">
        <f>$F$8</f>
        <v>1</v>
      </c>
      <c r="K13" s="11">
        <v>1</v>
      </c>
      <c r="L13" s="9">
        <f t="shared" si="0"/>
        <v>0</v>
      </c>
    </row>
    <row r="14" spans="1:12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7" customHeight="1">
      <c r="A16" s="5" t="s">
        <v>156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7" customHeight="1">
      <c r="A17" s="2" t="s">
        <v>407</v>
      </c>
      <c r="B17" s="2"/>
      <c r="C17" s="2"/>
      <c r="D17" s="2"/>
      <c r="E17" s="2"/>
      <c r="F17" s="7">
        <v>15</v>
      </c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 t="s">
        <v>408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4" t="s">
        <v>122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6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  <col min="13" max="13" width="14" customWidth="1"/>
  </cols>
  <sheetData>
    <row r="1" spans="1:13" ht="35" customHeight="1">
      <c r="A1" s="3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409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249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  <c r="M6" s="5"/>
    </row>
    <row r="7" spans="1:13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163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  <c r="M7" s="6" t="s">
        <v>410</v>
      </c>
    </row>
    <row r="8" spans="1:13" ht="32" customHeight="1">
      <c r="A8" s="12" t="s">
        <v>136</v>
      </c>
      <c r="B8" s="13">
        <v>0</v>
      </c>
      <c r="C8" s="13">
        <v>0</v>
      </c>
      <c r="D8" s="13">
        <v>10</v>
      </c>
      <c r="E8" s="14" t="s">
        <v>115</v>
      </c>
      <c r="F8" s="13">
        <v>1</v>
      </c>
      <c r="G8" s="15">
        <v>179</v>
      </c>
      <c r="H8" s="2"/>
      <c r="I8" s="8" t="s">
        <v>411</v>
      </c>
      <c r="J8" s="10">
        <f>IF($F$8="missing","missing",$F$8*10^($F$16/10))</f>
        <v>3.9810717055349727</v>
      </c>
      <c r="K8" s="11">
        <v>3.9810717055349722</v>
      </c>
      <c r="L8" s="9">
        <f>IF(AND(ISNUMBER(J8),ISNUMBER(K8)),IF(SIGN(J8)=0,"n/a (zero)",ABS(K8-J8)/ABS(J8)),IF(ISBLANK(K8),"missing export",IF(ISBLANK(J8),"missing input","n/a")))</f>
        <v>1.1155016606021829E-16</v>
      </c>
      <c r="M8" s="2"/>
    </row>
    <row r="9" spans="1:13" ht="32" customHeight="1">
      <c r="A9" s="12" t="s">
        <v>136</v>
      </c>
      <c r="B9" s="13">
        <v>1</v>
      </c>
      <c r="C9" s="13">
        <v>0</v>
      </c>
      <c r="D9" s="13">
        <v>10</v>
      </c>
      <c r="E9" s="14" t="s">
        <v>115</v>
      </c>
      <c r="F9" s="13">
        <v>0</v>
      </c>
      <c r="G9" s="15" t="s">
        <v>168</v>
      </c>
      <c r="H9" s="2"/>
      <c r="I9" s="8" t="s">
        <v>412</v>
      </c>
      <c r="J9" s="10">
        <f>IF($F$9="missing","missing",$F$9*10^($F$16/10))</f>
        <v>0</v>
      </c>
      <c r="K9" s="11">
        <v>0</v>
      </c>
      <c r="L9" s="9" t="str">
        <f>IF(AND(ISNUMBER(J9),ISNUMBER(K9)),IF(SIGN(J9)=0,"n/a (zero)",ABS(K9-J9)/ABS(J9)),IF(ISBLANK(K9),"missing export",IF(ISBLANK(J9),"missing input","n/a")))</f>
        <v>n/a (zero)</v>
      </c>
      <c r="M9" s="2"/>
    </row>
    <row r="10" spans="1:13" ht="32" customHeight="1">
      <c r="A10" s="12" t="s">
        <v>136</v>
      </c>
      <c r="B10" s="13">
        <v>2</v>
      </c>
      <c r="C10" s="13">
        <v>0</v>
      </c>
      <c r="D10" s="13">
        <v>10</v>
      </c>
      <c r="E10" s="14" t="s">
        <v>115</v>
      </c>
      <c r="F10" s="13">
        <v>100</v>
      </c>
      <c r="G10" s="15">
        <v>-179</v>
      </c>
      <c r="H10" s="2"/>
      <c r="I10" s="8" t="s">
        <v>413</v>
      </c>
      <c r="J10" s="10">
        <f>IF($F$10="missing","missing",$F$10*10^($F$16/10))</f>
        <v>398.10717055349727</v>
      </c>
      <c r="K10" s="11">
        <v>398.10717055349721</v>
      </c>
      <c r="L10" s="9">
        <f>IF(AND(ISNUMBER(J10),ISNUMBER(K10)),IF(SIGN(J10)=0,"n/a (zero)",ABS(K10-J10)/ABS(J10)),IF(ISBLANK(K10),"missing export",IF(ISBLANK(J10),"missing input","n/a")))</f>
        <v>1.4278421255707939E-16</v>
      </c>
      <c r="M10" s="2"/>
    </row>
    <row r="11" spans="1:13" ht="32" customHeight="1">
      <c r="A11" s="12" t="s">
        <v>136</v>
      </c>
      <c r="B11" s="13">
        <v>3</v>
      </c>
      <c r="C11" s="13">
        <v>0</v>
      </c>
      <c r="D11" s="13">
        <v>10</v>
      </c>
      <c r="E11" s="14" t="s">
        <v>115</v>
      </c>
      <c r="F11" s="13" t="s">
        <v>168</v>
      </c>
      <c r="G11" s="15">
        <v>45</v>
      </c>
      <c r="H11" s="2"/>
      <c r="I11" s="8" t="s">
        <v>414</v>
      </c>
      <c r="J11" s="10" t="str">
        <f>IF($F$11="missing","missing",$F$11*10^($F$16/10))</f>
        <v>missing</v>
      </c>
      <c r="K11" s="11" t="s">
        <v>168</v>
      </c>
      <c r="L11" s="9" t="str">
        <f>IF(AND(ISNUMBER(J11),ISNUMBER(K11)),IF(SIGN(J11)=0,"n/a (zero)",ABS(K11-J11)/ABS(J11)),IF(ISBLANK(K11),"missing export",IF(ISBLANK(J11),"missing input","n/a")))</f>
        <v>n/a</v>
      </c>
      <c r="M11" s="2"/>
    </row>
    <row r="12" spans="1:13" ht="32" customHeight="1">
      <c r="A12" s="12" t="s">
        <v>136</v>
      </c>
      <c r="B12" s="13">
        <v>4</v>
      </c>
      <c r="C12" s="13">
        <v>0</v>
      </c>
      <c r="D12" s="13">
        <v>10</v>
      </c>
      <c r="E12" s="14" t="s">
        <v>115</v>
      </c>
      <c r="F12" s="13">
        <v>4</v>
      </c>
      <c r="G12" s="15" t="s">
        <v>168</v>
      </c>
      <c r="H12" s="2"/>
      <c r="I12" s="8" t="s">
        <v>415</v>
      </c>
      <c r="J12" s="10">
        <f>IF($F$12="missing","missing",$F$12*10^($F$16/10))</f>
        <v>15.924286822139891</v>
      </c>
      <c r="K12" s="11">
        <v>15.924286822139889</v>
      </c>
      <c r="L12" s="9">
        <f>IF(AND(ISNUMBER(J12),ISNUMBER(K12)),IF(SIGN(J12)=0,"n/a (zero)",ABS(K12-J12)/ABS(J12)),IF(ISBLANK(K12),"missing export",IF(ISBLANK(J12),"missing input","n/a")))</f>
        <v>1.1155016606021829E-16</v>
      </c>
      <c r="M12" s="2"/>
    </row>
    <row r="13" spans="1:13" ht="32" customHeight="1">
      <c r="A13" s="2"/>
      <c r="B13" s="2"/>
      <c r="C13" s="2"/>
      <c r="D13" s="2"/>
      <c r="E13" s="2"/>
      <c r="F13" s="2"/>
      <c r="G13" s="2"/>
      <c r="H13" s="2"/>
      <c r="I13" s="8" t="s">
        <v>416</v>
      </c>
      <c r="J13" s="10">
        <f>IF(OR($F$8="missing",$F$8=0,$G$8="missing"),"missing",$G$8)</f>
        <v>179</v>
      </c>
      <c r="K13" s="11">
        <v>179</v>
      </c>
      <c r="L13" s="9" t="str">
        <f>IF(AND(ISNUMBER(J13),ISNUMBER(K13)),"n/a (angle)",IF(ISBLANK(K13),"missing export",IF(ISBLANK(J13),"missing input","n/a")))</f>
        <v>n/a (angle)</v>
      </c>
      <c r="M13" s="23">
        <f>IF(AND(ISNUMBER(J13),ISNUMBER(K13)),ABS(MOD((K13-J13)+180,360)-180),"n/a")</f>
        <v>0</v>
      </c>
    </row>
    <row r="14" spans="1:13" ht="32" customHeight="1">
      <c r="A14" s="2"/>
      <c r="B14" s="2"/>
      <c r="C14" s="2"/>
      <c r="D14" s="2"/>
      <c r="E14" s="2"/>
      <c r="F14" s="2"/>
      <c r="G14" s="2"/>
      <c r="H14" s="2"/>
      <c r="I14" s="8" t="s">
        <v>417</v>
      </c>
      <c r="J14" s="10">
        <f>IF(OR($F$10="missing",$F$10=0,$G$10="missing"),"missing",$G$10)</f>
        <v>-179</v>
      </c>
      <c r="K14" s="11">
        <v>-179</v>
      </c>
      <c r="L14" s="9" t="str">
        <f>IF(AND(ISNUMBER(J14),ISNUMBER(K14)),"n/a (angle)",IF(ISBLANK(K14),"missing export",IF(ISBLANK(J14),"missing input","n/a")))</f>
        <v>n/a (angle)</v>
      </c>
      <c r="M14" s="23">
        <f>IF(AND(ISNUMBER(J14),ISNUMBER(K14)),ABS(MOD((K14-J14)+180,360)-180),"n/a")</f>
        <v>0</v>
      </c>
    </row>
    <row r="15" spans="1:13" ht="32" customHeight="1">
      <c r="A15" s="5" t="s">
        <v>156</v>
      </c>
      <c r="B15" s="2"/>
      <c r="C15" s="2"/>
      <c r="D15" s="2"/>
      <c r="E15" s="2"/>
      <c r="F15" s="2"/>
      <c r="G15" s="2"/>
      <c r="H15" s="2"/>
      <c r="I15" s="8" t="s">
        <v>418</v>
      </c>
      <c r="J15" s="10">
        <f>$F$8</f>
        <v>1</v>
      </c>
      <c r="K15" s="11">
        <v>0.99999999999999989</v>
      </c>
      <c r="L15" s="9">
        <f>IF(AND(ISNUMBER(J15),ISNUMBER(K15)),IF(SIGN(J15)=0,"n/a (zero)",ABS(K15-J15)/ABS(J15)),IF(ISBLANK(K15),"missing export",IF(ISBLANK(J15),"missing input","n/a")))</f>
        <v>1.1102230246251565E-16</v>
      </c>
      <c r="M15" s="2"/>
    </row>
    <row r="16" spans="1:13" ht="32" customHeight="1">
      <c r="A16" s="2" t="s">
        <v>419</v>
      </c>
      <c r="B16" s="2"/>
      <c r="C16" s="2"/>
      <c r="D16" s="2"/>
      <c r="E16" s="2"/>
      <c r="F16" s="7">
        <v>6</v>
      </c>
      <c r="G16" s="2"/>
      <c r="H16" s="2"/>
      <c r="I16" s="8" t="s">
        <v>420</v>
      </c>
      <c r="J16" s="10">
        <f>$F$10</f>
        <v>100</v>
      </c>
      <c r="K16" s="11">
        <v>99.999999999999986</v>
      </c>
      <c r="L16" s="9">
        <f>IF(AND(ISNUMBER(J16),ISNUMBER(K16)),IF(SIGN(J16)=0,"n/a (zero)",ABS(K16-J16)/ABS(J16)),IF(ISBLANK(K16),"missing export",IF(ISBLANK(J16),"missing input","n/a")))</f>
        <v>1.4210854715202004E-16</v>
      </c>
      <c r="M16" s="2"/>
    </row>
    <row r="17" spans="1:13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7" customHeight="1">
      <c r="A19" s="2" t="s">
        <v>421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7" customHeight="1">
      <c r="A24" s="4" t="s">
        <v>122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2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7" customHeight="1">
      <c r="A26" s="4" t="s">
        <v>422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423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377</v>
      </c>
      <c r="B8" s="13">
        <v>0</v>
      </c>
      <c r="C8" s="13">
        <v>0</v>
      </c>
      <c r="D8" s="13">
        <v>10</v>
      </c>
      <c r="E8" s="14" t="s">
        <v>115</v>
      </c>
      <c r="F8" s="13">
        <v>1</v>
      </c>
      <c r="G8" s="15">
        <v>-150</v>
      </c>
      <c r="H8" s="2"/>
      <c r="I8" s="8" t="s">
        <v>424</v>
      </c>
      <c r="J8" s="10" t="str">
        <f>IF(AND(ISNUMBER($F$11),ISNUMBER($F$15)),$F$11,"missing")</f>
        <v>missing</v>
      </c>
      <c r="K8" s="11" t="s">
        <v>168</v>
      </c>
      <c r="L8" s="9" t="str">
        <f t="shared" ref="L8:L15" si="0">IF(AND(ISNUMBER(J8),ISNUMBER(K8)),IF(SIGN(J8)=0,"n/a (zero)",ABS(K8-J8)/ABS(J8)),IF(ISBLANK(K8),"missing export",IF(ISBLANK(J8),"missing input","n/a")))</f>
        <v>n/a</v>
      </c>
    </row>
    <row r="9" spans="1:12" ht="32" customHeight="1">
      <c r="A9" s="12" t="s">
        <v>377</v>
      </c>
      <c r="B9" s="13">
        <v>0</v>
      </c>
      <c r="C9" s="13">
        <v>0</v>
      </c>
      <c r="D9" s="13">
        <v>10</v>
      </c>
      <c r="E9" s="14" t="s">
        <v>221</v>
      </c>
      <c r="F9" s="13">
        <v>2</v>
      </c>
      <c r="G9" s="15">
        <v>-137</v>
      </c>
      <c r="H9" s="2"/>
      <c r="I9" s="8" t="s">
        <v>425</v>
      </c>
      <c r="J9" s="10">
        <f>$F$10</f>
        <v>3</v>
      </c>
      <c r="K9" s="11">
        <v>3</v>
      </c>
      <c r="L9" s="9">
        <f t="shared" si="0"/>
        <v>0</v>
      </c>
    </row>
    <row r="10" spans="1:12" ht="32" customHeight="1">
      <c r="A10" s="12" t="s">
        <v>377</v>
      </c>
      <c r="B10" s="13">
        <v>10</v>
      </c>
      <c r="C10" s="13">
        <v>0</v>
      </c>
      <c r="D10" s="13">
        <v>10</v>
      </c>
      <c r="E10" s="14" t="s">
        <v>115</v>
      </c>
      <c r="F10" s="13">
        <v>3</v>
      </c>
      <c r="G10" s="15">
        <v>-124</v>
      </c>
      <c r="H10" s="2"/>
      <c r="I10" s="8" t="s">
        <v>426</v>
      </c>
      <c r="J10" s="10">
        <f>$F$13</f>
        <v>6</v>
      </c>
      <c r="K10" s="11">
        <v>6</v>
      </c>
      <c r="L10" s="9">
        <f t="shared" si="0"/>
        <v>0</v>
      </c>
    </row>
    <row r="11" spans="1:12" ht="32" customHeight="1">
      <c r="A11" s="12" t="s">
        <v>377</v>
      </c>
      <c r="B11" s="13">
        <v>10</v>
      </c>
      <c r="C11" s="13">
        <v>0</v>
      </c>
      <c r="D11" s="13">
        <v>10</v>
      </c>
      <c r="E11" s="14" t="s">
        <v>221</v>
      </c>
      <c r="F11" s="13">
        <v>4</v>
      </c>
      <c r="G11" s="15">
        <v>-111</v>
      </c>
      <c r="H11" s="2"/>
      <c r="I11" s="8" t="s">
        <v>427</v>
      </c>
      <c r="J11" s="10">
        <f>$F$12</f>
        <v>0</v>
      </c>
      <c r="K11" s="11">
        <v>0</v>
      </c>
      <c r="L11" s="9" t="str">
        <f t="shared" si="0"/>
        <v>n/a (zero)</v>
      </c>
    </row>
    <row r="12" spans="1:12" ht="32" customHeight="1">
      <c r="A12" s="12" t="s">
        <v>377</v>
      </c>
      <c r="B12" s="13">
        <v>20</v>
      </c>
      <c r="C12" s="13">
        <v>0</v>
      </c>
      <c r="D12" s="13">
        <v>10</v>
      </c>
      <c r="E12" s="14" t="s">
        <v>115</v>
      </c>
      <c r="F12" s="13">
        <v>0</v>
      </c>
      <c r="G12" s="15">
        <v>-98</v>
      </c>
      <c r="H12" s="2"/>
      <c r="I12" s="8" t="s">
        <v>428</v>
      </c>
      <c r="J12" s="10" t="str">
        <f>IF(AND(ISNUMBER($F$11),ISNUMBER($F$15)),$F$15,"missing")</f>
        <v>missing</v>
      </c>
      <c r="K12" s="11" t="s">
        <v>168</v>
      </c>
      <c r="L12" s="9" t="str">
        <f t="shared" si="0"/>
        <v>n/a</v>
      </c>
    </row>
    <row r="13" spans="1:12" ht="32" customHeight="1">
      <c r="A13" s="12" t="s">
        <v>377</v>
      </c>
      <c r="B13" s="13">
        <v>20</v>
      </c>
      <c r="C13" s="13">
        <v>0</v>
      </c>
      <c r="D13" s="13">
        <v>10</v>
      </c>
      <c r="E13" s="14" t="s">
        <v>221</v>
      </c>
      <c r="F13" s="13">
        <v>6</v>
      </c>
      <c r="G13" s="15">
        <v>-85</v>
      </c>
      <c r="H13" s="2"/>
      <c r="I13" s="8" t="s">
        <v>429</v>
      </c>
      <c r="J13" s="10">
        <f>$F$14</f>
        <v>7</v>
      </c>
      <c r="K13" s="11">
        <v>7.0000000000000018</v>
      </c>
      <c r="L13" s="9">
        <f t="shared" si="0"/>
        <v>2.5376526277146434E-16</v>
      </c>
    </row>
    <row r="14" spans="1:12" ht="32" customHeight="1">
      <c r="A14" s="12" t="s">
        <v>381</v>
      </c>
      <c r="B14" s="13">
        <v>10</v>
      </c>
      <c r="C14" s="13">
        <v>0</v>
      </c>
      <c r="D14" s="13">
        <v>10</v>
      </c>
      <c r="E14" s="14" t="s">
        <v>115</v>
      </c>
      <c r="F14" s="13">
        <v>7</v>
      </c>
      <c r="G14" s="15">
        <v>-150</v>
      </c>
      <c r="H14" s="2"/>
      <c r="I14" s="8" t="s">
        <v>430</v>
      </c>
      <c r="J14" s="10">
        <f>$F$17</f>
        <v>10</v>
      </c>
      <c r="K14" s="11">
        <v>10</v>
      </c>
      <c r="L14" s="9">
        <f t="shared" si="0"/>
        <v>0</v>
      </c>
    </row>
    <row r="15" spans="1:12" ht="32" customHeight="1">
      <c r="A15" s="12" t="s">
        <v>381</v>
      </c>
      <c r="B15" s="13">
        <v>10</v>
      </c>
      <c r="C15" s="13">
        <v>0</v>
      </c>
      <c r="D15" s="13">
        <v>10</v>
      </c>
      <c r="E15" s="14" t="s">
        <v>221</v>
      </c>
      <c r="F15" s="13" t="s">
        <v>168</v>
      </c>
      <c r="G15" s="15">
        <v>-137</v>
      </c>
      <c r="H15" s="2"/>
      <c r="I15" s="8" t="s">
        <v>431</v>
      </c>
      <c r="J15" s="10">
        <f>$F$16</f>
        <v>9</v>
      </c>
      <c r="K15" s="11">
        <v>9</v>
      </c>
      <c r="L15" s="9">
        <f t="shared" si="0"/>
        <v>0</v>
      </c>
    </row>
    <row r="16" spans="1:12" ht="27" customHeight="1">
      <c r="A16" s="12" t="s">
        <v>381</v>
      </c>
      <c r="B16" s="13">
        <v>20</v>
      </c>
      <c r="C16" s="13">
        <v>0</v>
      </c>
      <c r="D16" s="13">
        <v>10</v>
      </c>
      <c r="E16" s="14" t="s">
        <v>115</v>
      </c>
      <c r="F16" s="13">
        <v>9</v>
      </c>
      <c r="G16" s="15">
        <v>-124</v>
      </c>
      <c r="H16" s="2"/>
      <c r="I16" s="2"/>
      <c r="J16" s="2"/>
      <c r="K16" s="2"/>
      <c r="L16" s="2"/>
    </row>
    <row r="17" spans="1:12" ht="27" customHeight="1">
      <c r="A17" s="12" t="s">
        <v>381</v>
      </c>
      <c r="B17" s="13">
        <v>20</v>
      </c>
      <c r="C17" s="13">
        <v>0</v>
      </c>
      <c r="D17" s="13">
        <v>10</v>
      </c>
      <c r="E17" s="14" t="s">
        <v>221</v>
      </c>
      <c r="F17" s="13">
        <v>10</v>
      </c>
      <c r="G17" s="15">
        <v>-111</v>
      </c>
      <c r="H17" s="2"/>
      <c r="I17" s="2"/>
      <c r="J17" s="2"/>
      <c r="K17" s="2"/>
      <c r="L17" s="2"/>
    </row>
    <row r="18" spans="1:12" ht="27" customHeight="1">
      <c r="A18" s="12" t="s">
        <v>381</v>
      </c>
      <c r="B18" s="13">
        <v>30</v>
      </c>
      <c r="C18" s="13">
        <v>0</v>
      </c>
      <c r="D18" s="13">
        <v>10</v>
      </c>
      <c r="E18" s="14" t="s">
        <v>115</v>
      </c>
      <c r="F18" s="13">
        <v>11</v>
      </c>
      <c r="G18" s="15">
        <v>-98</v>
      </c>
      <c r="H18" s="2"/>
      <c r="I18" s="2"/>
      <c r="J18" s="2"/>
      <c r="K18" s="2"/>
      <c r="L18" s="2"/>
    </row>
    <row r="19" spans="1:12" ht="27" customHeight="1">
      <c r="A19" s="12" t="s">
        <v>381</v>
      </c>
      <c r="B19" s="13">
        <v>30</v>
      </c>
      <c r="C19" s="13">
        <v>0</v>
      </c>
      <c r="D19" s="13">
        <v>10</v>
      </c>
      <c r="E19" s="14" t="s">
        <v>221</v>
      </c>
      <c r="F19" s="13">
        <v>12</v>
      </c>
      <c r="G19" s="15">
        <v>-85</v>
      </c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2" t="s">
        <v>432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5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433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162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163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12" t="s">
        <v>434</v>
      </c>
      <c r="B8" s="13">
        <v>-30</v>
      </c>
      <c r="C8" s="13">
        <v>0</v>
      </c>
      <c r="D8" s="13">
        <v>8</v>
      </c>
      <c r="E8" s="14" t="s">
        <v>115</v>
      </c>
      <c r="F8" s="15">
        <v>0</v>
      </c>
      <c r="G8" s="2"/>
      <c r="H8" s="8" t="s">
        <v>435</v>
      </c>
      <c r="I8" s="10">
        <f>MIN($F$8,$F$11,$F$14)</f>
        <v>0</v>
      </c>
      <c r="J8" s="11">
        <v>0</v>
      </c>
      <c r="K8" s="9" t="str">
        <f t="shared" ref="K8:K19" si="0">IF(AND(ISNUMBER(I8),ISNUMBER(J8)),IF(SIGN(I8)=0,"n/a (zero)",ABS(J8-I8)/ABS(I8)),IF(ISBLANK(J8),"missing export",IF(ISBLANK(I8),"missing input","n/a")))</f>
        <v>n/a (zero)</v>
      </c>
    </row>
    <row r="9" spans="1:11" ht="32" customHeight="1">
      <c r="A9" s="12" t="s">
        <v>434</v>
      </c>
      <c r="B9" s="13">
        <v>-30</v>
      </c>
      <c r="C9" s="13">
        <v>0</v>
      </c>
      <c r="D9" s="13">
        <v>9</v>
      </c>
      <c r="E9" s="14" t="s">
        <v>115</v>
      </c>
      <c r="F9" s="15">
        <v>2</v>
      </c>
      <c r="G9" s="2"/>
      <c r="H9" s="8" t="s">
        <v>436</v>
      </c>
      <c r="I9" s="10">
        <f>MAX($F$8,$F$11,$F$14)</f>
        <v>3</v>
      </c>
      <c r="J9" s="11">
        <v>3</v>
      </c>
      <c r="K9" s="9">
        <f t="shared" si="0"/>
        <v>0</v>
      </c>
    </row>
    <row r="10" spans="1:11" ht="32" customHeight="1">
      <c r="A10" s="12" t="s">
        <v>434</v>
      </c>
      <c r="B10" s="13">
        <v>-30</v>
      </c>
      <c r="C10" s="13">
        <v>0</v>
      </c>
      <c r="D10" s="13">
        <v>10</v>
      </c>
      <c r="E10" s="14" t="s">
        <v>115</v>
      </c>
      <c r="F10" s="15">
        <v>8</v>
      </c>
      <c r="G10" s="2"/>
      <c r="H10" s="8" t="s">
        <v>437</v>
      </c>
      <c r="I10" s="10">
        <f>MIN($F$9,$F$12,$F$15)</f>
        <v>2</v>
      </c>
      <c r="J10" s="11">
        <v>2</v>
      </c>
      <c r="K10" s="9">
        <f t="shared" si="0"/>
        <v>0</v>
      </c>
    </row>
    <row r="11" spans="1:11" ht="32" customHeight="1">
      <c r="A11" s="12" t="s">
        <v>434</v>
      </c>
      <c r="B11" s="13">
        <v>0</v>
      </c>
      <c r="C11" s="13">
        <v>0</v>
      </c>
      <c r="D11" s="13">
        <v>8</v>
      </c>
      <c r="E11" s="14" t="s">
        <v>115</v>
      </c>
      <c r="F11" s="15">
        <v>3</v>
      </c>
      <c r="G11" s="2"/>
      <c r="H11" s="8" t="s">
        <v>438</v>
      </c>
      <c r="I11" s="10">
        <f>MAX($F$9,$F$12,$F$15)</f>
        <v>4</v>
      </c>
      <c r="J11" s="11">
        <v>4</v>
      </c>
      <c r="K11" s="9">
        <f t="shared" si="0"/>
        <v>0</v>
      </c>
    </row>
    <row r="12" spans="1:11" ht="32" customHeight="1">
      <c r="A12" s="12" t="s">
        <v>434</v>
      </c>
      <c r="B12" s="13">
        <v>0</v>
      </c>
      <c r="C12" s="13">
        <v>0</v>
      </c>
      <c r="D12" s="13">
        <v>9</v>
      </c>
      <c r="E12" s="14" t="s">
        <v>115</v>
      </c>
      <c r="F12" s="15">
        <v>4</v>
      </c>
      <c r="G12" s="2"/>
      <c r="H12" s="8" t="s">
        <v>439</v>
      </c>
      <c r="I12" s="10">
        <f>MIN($F$10,$F$13,$F$16)</f>
        <v>4</v>
      </c>
      <c r="J12" s="11">
        <v>4</v>
      </c>
      <c r="K12" s="9">
        <f t="shared" si="0"/>
        <v>0</v>
      </c>
    </row>
    <row r="13" spans="1:11" ht="32" customHeight="1">
      <c r="A13" s="12" t="s">
        <v>434</v>
      </c>
      <c r="B13" s="13">
        <v>0</v>
      </c>
      <c r="C13" s="13">
        <v>0</v>
      </c>
      <c r="D13" s="13">
        <v>10</v>
      </c>
      <c r="E13" s="14" t="s">
        <v>115</v>
      </c>
      <c r="F13" s="15">
        <v>16</v>
      </c>
      <c r="G13" s="2"/>
      <c r="H13" s="8" t="s">
        <v>440</v>
      </c>
      <c r="I13" s="10">
        <f>MAX($F$10,$F$13,$F$16)</f>
        <v>16</v>
      </c>
      <c r="J13" s="11">
        <v>16</v>
      </c>
      <c r="K13" s="9">
        <f t="shared" si="0"/>
        <v>0</v>
      </c>
    </row>
    <row r="14" spans="1:11" ht="32" customHeight="1">
      <c r="A14" s="12" t="s">
        <v>434</v>
      </c>
      <c r="B14" s="13">
        <v>30</v>
      </c>
      <c r="C14" s="13">
        <v>0</v>
      </c>
      <c r="D14" s="13">
        <v>8</v>
      </c>
      <c r="E14" s="14" t="s">
        <v>115</v>
      </c>
      <c r="F14" s="15">
        <v>1</v>
      </c>
      <c r="G14" s="2"/>
      <c r="H14" s="8" t="s">
        <v>441</v>
      </c>
      <c r="I14" s="10">
        <f>MIN($F$17,$F$20,$F$23)</f>
        <v>0</v>
      </c>
      <c r="J14" s="11">
        <v>0</v>
      </c>
      <c r="K14" s="9" t="str">
        <f t="shared" si="0"/>
        <v>n/a (zero)</v>
      </c>
    </row>
    <row r="15" spans="1:11" ht="32" customHeight="1">
      <c r="A15" s="12" t="s">
        <v>434</v>
      </c>
      <c r="B15" s="13">
        <v>30</v>
      </c>
      <c r="C15" s="13">
        <v>0</v>
      </c>
      <c r="D15" s="13">
        <v>9</v>
      </c>
      <c r="E15" s="14" t="s">
        <v>115</v>
      </c>
      <c r="F15" s="15" t="s">
        <v>168</v>
      </c>
      <c r="G15" s="2"/>
      <c r="H15" s="8" t="s">
        <v>442</v>
      </c>
      <c r="I15" s="10">
        <f>MAX($F$17,$F$20,$F$23)</f>
        <v>30</v>
      </c>
      <c r="J15" s="11">
        <v>30</v>
      </c>
      <c r="K15" s="9">
        <f t="shared" si="0"/>
        <v>0</v>
      </c>
    </row>
    <row r="16" spans="1:11" ht="32" customHeight="1">
      <c r="A16" s="12" t="s">
        <v>434</v>
      </c>
      <c r="B16" s="13">
        <v>30</v>
      </c>
      <c r="C16" s="13">
        <v>0</v>
      </c>
      <c r="D16" s="13">
        <v>10</v>
      </c>
      <c r="E16" s="14" t="s">
        <v>115</v>
      </c>
      <c r="F16" s="15">
        <v>4</v>
      </c>
      <c r="G16" s="2"/>
      <c r="H16" s="8" t="s">
        <v>443</v>
      </c>
      <c r="I16" s="10">
        <f>MIN($F$18,$F$21,$F$24)</f>
        <v>20</v>
      </c>
      <c r="J16" s="11">
        <v>20</v>
      </c>
      <c r="K16" s="9">
        <f t="shared" si="0"/>
        <v>0</v>
      </c>
    </row>
    <row r="17" spans="1:11" ht="32" customHeight="1">
      <c r="A17" s="12" t="s">
        <v>444</v>
      </c>
      <c r="B17" s="13">
        <v>-30</v>
      </c>
      <c r="C17" s="13">
        <v>0</v>
      </c>
      <c r="D17" s="13">
        <v>8</v>
      </c>
      <c r="E17" s="14" t="s">
        <v>115</v>
      </c>
      <c r="F17" s="15">
        <v>0</v>
      </c>
      <c r="G17" s="2"/>
      <c r="H17" s="8" t="s">
        <v>445</v>
      </c>
      <c r="I17" s="10">
        <f>MAX($F$18,$F$21,$F$24)</f>
        <v>40</v>
      </c>
      <c r="J17" s="11">
        <v>40</v>
      </c>
      <c r="K17" s="9">
        <f t="shared" si="0"/>
        <v>0</v>
      </c>
    </row>
    <row r="18" spans="1:11" ht="32" customHeight="1">
      <c r="A18" s="12" t="s">
        <v>444</v>
      </c>
      <c r="B18" s="13">
        <v>-30</v>
      </c>
      <c r="C18" s="13">
        <v>0</v>
      </c>
      <c r="D18" s="13">
        <v>9</v>
      </c>
      <c r="E18" s="14" t="s">
        <v>115</v>
      </c>
      <c r="F18" s="15">
        <v>20</v>
      </c>
      <c r="G18" s="2"/>
      <c r="H18" s="8" t="s">
        <v>446</v>
      </c>
      <c r="I18" s="10">
        <f>MIN($F$19,$F$22,$F$25)</f>
        <v>40</v>
      </c>
      <c r="J18" s="11">
        <v>40</v>
      </c>
      <c r="K18" s="9">
        <f t="shared" si="0"/>
        <v>0</v>
      </c>
    </row>
    <row r="19" spans="1:11" ht="32" customHeight="1">
      <c r="A19" s="12" t="s">
        <v>444</v>
      </c>
      <c r="B19" s="13">
        <v>-30</v>
      </c>
      <c r="C19" s="13">
        <v>0</v>
      </c>
      <c r="D19" s="13">
        <v>10</v>
      </c>
      <c r="E19" s="14" t="s">
        <v>115</v>
      </c>
      <c r="F19" s="15">
        <v>80</v>
      </c>
      <c r="G19" s="2"/>
      <c r="H19" s="8" t="s">
        <v>447</v>
      </c>
      <c r="I19" s="10">
        <f>MAX($F$19,$F$22,$F$25)</f>
        <v>160</v>
      </c>
      <c r="J19" s="11">
        <v>160</v>
      </c>
      <c r="K19" s="9">
        <f t="shared" si="0"/>
        <v>0</v>
      </c>
    </row>
    <row r="20" spans="1:11" ht="27" customHeight="1">
      <c r="A20" s="12" t="s">
        <v>444</v>
      </c>
      <c r="B20" s="13">
        <v>0</v>
      </c>
      <c r="C20" s="13">
        <v>0</v>
      </c>
      <c r="D20" s="13">
        <v>8</v>
      </c>
      <c r="E20" s="14" t="s">
        <v>115</v>
      </c>
      <c r="F20" s="15">
        <v>30</v>
      </c>
      <c r="G20" s="2"/>
      <c r="H20" s="2"/>
      <c r="I20" s="2"/>
      <c r="J20" s="2"/>
      <c r="K20" s="2"/>
    </row>
    <row r="21" spans="1:11" ht="27" customHeight="1">
      <c r="A21" s="12" t="s">
        <v>444</v>
      </c>
      <c r="B21" s="13">
        <v>0</v>
      </c>
      <c r="C21" s="13">
        <v>0</v>
      </c>
      <c r="D21" s="13">
        <v>9</v>
      </c>
      <c r="E21" s="14" t="s">
        <v>115</v>
      </c>
      <c r="F21" s="15">
        <v>40</v>
      </c>
      <c r="G21" s="2"/>
      <c r="H21" s="2"/>
      <c r="I21" s="2"/>
      <c r="J21" s="2"/>
      <c r="K21" s="2"/>
    </row>
    <row r="22" spans="1:11" ht="27" customHeight="1">
      <c r="A22" s="12" t="s">
        <v>444</v>
      </c>
      <c r="B22" s="13">
        <v>0</v>
      </c>
      <c r="C22" s="13">
        <v>0</v>
      </c>
      <c r="D22" s="13">
        <v>10</v>
      </c>
      <c r="E22" s="14" t="s">
        <v>115</v>
      </c>
      <c r="F22" s="15">
        <v>160</v>
      </c>
      <c r="G22" s="2"/>
      <c r="H22" s="2"/>
      <c r="I22" s="2"/>
      <c r="J22" s="2"/>
      <c r="K22" s="2"/>
    </row>
    <row r="23" spans="1:11" ht="27" customHeight="1">
      <c r="A23" s="12" t="s">
        <v>444</v>
      </c>
      <c r="B23" s="13">
        <v>30</v>
      </c>
      <c r="C23" s="13">
        <v>0</v>
      </c>
      <c r="D23" s="13">
        <v>8</v>
      </c>
      <c r="E23" s="14" t="s">
        <v>115</v>
      </c>
      <c r="F23" s="15">
        <v>10</v>
      </c>
      <c r="G23" s="2"/>
      <c r="H23" s="2"/>
      <c r="I23" s="2"/>
      <c r="J23" s="2"/>
      <c r="K23" s="2"/>
    </row>
    <row r="24" spans="1:11" ht="27" customHeight="1">
      <c r="A24" s="12" t="s">
        <v>444</v>
      </c>
      <c r="B24" s="13">
        <v>30</v>
      </c>
      <c r="C24" s="13">
        <v>0</v>
      </c>
      <c r="D24" s="13">
        <v>9</v>
      </c>
      <c r="E24" s="14" t="s">
        <v>115</v>
      </c>
      <c r="F24" s="15" t="s">
        <v>168</v>
      </c>
      <c r="G24" s="2"/>
      <c r="H24" s="2"/>
      <c r="I24" s="2"/>
      <c r="J24" s="2"/>
      <c r="K24" s="2"/>
    </row>
    <row r="25" spans="1:11" ht="27" customHeight="1">
      <c r="A25" s="12" t="s">
        <v>444</v>
      </c>
      <c r="B25" s="13">
        <v>30</v>
      </c>
      <c r="C25" s="13">
        <v>0</v>
      </c>
      <c r="D25" s="13">
        <v>10</v>
      </c>
      <c r="E25" s="14" t="s">
        <v>115</v>
      </c>
      <c r="F25" s="15">
        <v>40</v>
      </c>
      <c r="G25" s="2"/>
      <c r="H25" s="2"/>
      <c r="I25" s="2"/>
      <c r="J25" s="2"/>
      <c r="K25" s="2"/>
    </row>
    <row r="26" spans="1:11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7" customHeight="1">
      <c r="A31" s="2" t="s">
        <v>448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7" customHeight="1">
      <c r="A33" s="4" t="s">
        <v>122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2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2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8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449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450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163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12" t="s">
        <v>197</v>
      </c>
      <c r="B8" s="13">
        <v>-10</v>
      </c>
      <c r="C8" s="13">
        <v>0</v>
      </c>
      <c r="D8" s="13">
        <v>8</v>
      </c>
      <c r="E8" s="14" t="s">
        <v>115</v>
      </c>
      <c r="F8" s="15">
        <v>0</v>
      </c>
      <c r="G8" s="2"/>
      <c r="H8" s="8" t="s">
        <v>451</v>
      </c>
      <c r="I8" s="10">
        <f>_xlfn.PERCENTILE.INC($F$8:$F$12,$E$21/100)</f>
        <v>66.399999999999977</v>
      </c>
      <c r="J8" s="11">
        <v>66.400000000000006</v>
      </c>
      <c r="K8" s="9">
        <f>IF(AND(ISNUMBER(I8),ISNUMBER(J8)),IF(SIGN(I8)=0,"n/a (zero)",ABS(J8-I8)/ABS(I8)),IF(ISBLANK(J8),"missing export",IF(ISBLANK(I8),"missing input","n/a")))</f>
        <v>4.2803779262656652E-16</v>
      </c>
    </row>
    <row r="9" spans="1:11" ht="32" customHeight="1">
      <c r="A9" s="12" t="s">
        <v>197</v>
      </c>
      <c r="B9" s="13">
        <v>0</v>
      </c>
      <c r="C9" s="13">
        <v>0</v>
      </c>
      <c r="D9" s="13">
        <v>8</v>
      </c>
      <c r="E9" s="14" t="s">
        <v>115</v>
      </c>
      <c r="F9" s="15">
        <v>1</v>
      </c>
      <c r="G9" s="2"/>
      <c r="H9" s="8" t="s">
        <v>452</v>
      </c>
      <c r="I9" s="10">
        <f>_xlfn.PERCENTILE.INC($F$13:$F$17,$E$21/100)</f>
        <v>199.1999999999999</v>
      </c>
      <c r="J9" s="11">
        <v>199.20000000000002</v>
      </c>
      <c r="K9" s="9">
        <f>IF(AND(ISNUMBER(I9),ISNUMBER(J9)),IF(SIGN(I9)=0,"n/a (zero)",ABS(J9-I9)/ABS(I9)),IF(ISBLANK(J9),"missing export",IF(ISBLANK(I9),"missing input","n/a")))</f>
        <v>5.7071705683542213E-16</v>
      </c>
    </row>
    <row r="10" spans="1:11" ht="27" customHeight="1">
      <c r="A10" s="12" t="s">
        <v>197</v>
      </c>
      <c r="B10" s="13">
        <v>10</v>
      </c>
      <c r="C10" s="13">
        <v>0</v>
      </c>
      <c r="D10" s="13">
        <v>8</v>
      </c>
      <c r="E10" s="14" t="s">
        <v>115</v>
      </c>
      <c r="F10" s="15">
        <v>4</v>
      </c>
      <c r="G10" s="2"/>
      <c r="H10" s="2"/>
      <c r="I10" s="2"/>
      <c r="J10" s="2"/>
      <c r="K10" s="2"/>
    </row>
    <row r="11" spans="1:11" ht="27" customHeight="1">
      <c r="A11" s="12" t="s">
        <v>197</v>
      </c>
      <c r="B11" s="13">
        <v>20</v>
      </c>
      <c r="C11" s="13">
        <v>0</v>
      </c>
      <c r="D11" s="13">
        <v>8</v>
      </c>
      <c r="E11" s="14" t="s">
        <v>115</v>
      </c>
      <c r="F11" s="15">
        <v>16</v>
      </c>
      <c r="G11" s="2"/>
      <c r="H11" s="2"/>
      <c r="I11" s="2"/>
      <c r="J11" s="2"/>
      <c r="K11" s="2"/>
    </row>
    <row r="12" spans="1:11" ht="27" customHeight="1">
      <c r="A12" s="12" t="s">
        <v>197</v>
      </c>
      <c r="B12" s="13">
        <v>30</v>
      </c>
      <c r="C12" s="13">
        <v>0</v>
      </c>
      <c r="D12" s="13">
        <v>8</v>
      </c>
      <c r="E12" s="14" t="s">
        <v>115</v>
      </c>
      <c r="F12" s="15">
        <v>100</v>
      </c>
      <c r="G12" s="2"/>
      <c r="H12" s="2"/>
      <c r="I12" s="2"/>
      <c r="J12" s="2"/>
      <c r="K12" s="2"/>
    </row>
    <row r="13" spans="1:11" ht="27" customHeight="1">
      <c r="A13" s="12" t="s">
        <v>205</v>
      </c>
      <c r="B13" s="13">
        <v>-10</v>
      </c>
      <c r="C13" s="13">
        <v>0</v>
      </c>
      <c r="D13" s="13">
        <v>8</v>
      </c>
      <c r="E13" s="14" t="s">
        <v>115</v>
      </c>
      <c r="F13" s="15">
        <v>0</v>
      </c>
      <c r="G13" s="2"/>
      <c r="H13" s="2"/>
      <c r="I13" s="2"/>
      <c r="J13" s="2"/>
      <c r="K13" s="2"/>
    </row>
    <row r="14" spans="1:11" ht="27" customHeight="1">
      <c r="A14" s="12" t="s">
        <v>205</v>
      </c>
      <c r="B14" s="13">
        <v>0</v>
      </c>
      <c r="C14" s="13">
        <v>0</v>
      </c>
      <c r="D14" s="13">
        <v>8</v>
      </c>
      <c r="E14" s="14" t="s">
        <v>115</v>
      </c>
      <c r="F14" s="15">
        <v>3</v>
      </c>
      <c r="G14" s="2"/>
      <c r="H14" s="2"/>
      <c r="I14" s="2"/>
      <c r="J14" s="2"/>
      <c r="K14" s="2"/>
    </row>
    <row r="15" spans="1:11" ht="27" customHeight="1">
      <c r="A15" s="12" t="s">
        <v>205</v>
      </c>
      <c r="B15" s="13">
        <v>10</v>
      </c>
      <c r="C15" s="13">
        <v>0</v>
      </c>
      <c r="D15" s="13">
        <v>8</v>
      </c>
      <c r="E15" s="14" t="s">
        <v>115</v>
      </c>
      <c r="F15" s="15">
        <v>12</v>
      </c>
      <c r="G15" s="2"/>
      <c r="H15" s="2"/>
      <c r="I15" s="2"/>
      <c r="J15" s="2"/>
      <c r="K15" s="2"/>
    </row>
    <row r="16" spans="1:11" ht="27" customHeight="1">
      <c r="A16" s="12" t="s">
        <v>205</v>
      </c>
      <c r="B16" s="13">
        <v>20</v>
      </c>
      <c r="C16" s="13">
        <v>0</v>
      </c>
      <c r="D16" s="13">
        <v>8</v>
      </c>
      <c r="E16" s="14" t="s">
        <v>115</v>
      </c>
      <c r="F16" s="15">
        <v>48</v>
      </c>
      <c r="G16" s="2"/>
      <c r="H16" s="2"/>
      <c r="I16" s="2"/>
      <c r="J16" s="2"/>
      <c r="K16" s="2"/>
    </row>
    <row r="17" spans="1:11" ht="27" customHeight="1">
      <c r="A17" s="12" t="s">
        <v>205</v>
      </c>
      <c r="B17" s="13">
        <v>30</v>
      </c>
      <c r="C17" s="13">
        <v>0</v>
      </c>
      <c r="D17" s="13">
        <v>8</v>
      </c>
      <c r="E17" s="14" t="s">
        <v>115</v>
      </c>
      <c r="F17" s="15">
        <v>300</v>
      </c>
      <c r="G17" s="2"/>
      <c r="H17" s="2"/>
      <c r="I17" s="2"/>
      <c r="J17" s="2"/>
      <c r="K17" s="2"/>
    </row>
    <row r="18" spans="1:11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7" customHeight="1">
      <c r="A20" s="5" t="s">
        <v>156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7" customHeight="1">
      <c r="A21" s="2" t="s">
        <v>317</v>
      </c>
      <c r="B21" s="2"/>
      <c r="C21" s="2"/>
      <c r="D21" s="2"/>
      <c r="E21" s="7">
        <v>90</v>
      </c>
      <c r="F21" s="2"/>
      <c r="G21" s="2"/>
      <c r="H21" s="2"/>
      <c r="I21" s="2"/>
      <c r="J21" s="2"/>
      <c r="K21" s="2"/>
    </row>
    <row r="22" spans="1:11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7" customHeight="1">
      <c r="A24" s="2" t="s">
        <v>453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" customHeight="1">
      <c r="A26" s="4" t="s">
        <v>122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2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2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3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6" width="14" customWidth="1"/>
    <col min="7" max="7" width="3" customWidth="1"/>
    <col min="8" max="8" width="31" customWidth="1"/>
    <col min="9" max="10" width="17" customWidth="1"/>
    <col min="11" max="11" width="15" customWidth="1"/>
    <col min="12" max="12" width="14" customWidth="1"/>
  </cols>
  <sheetData>
    <row r="1" spans="1:12" ht="35" customHeight="1">
      <c r="A1" s="3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161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179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  <c r="L6" s="5"/>
    </row>
    <row r="7" spans="1:12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6" t="s">
        <v>109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  <c r="L7" s="6" t="s">
        <v>410</v>
      </c>
    </row>
    <row r="8" spans="1:12" ht="32" customHeight="1">
      <c r="A8" s="21">
        <v>-150</v>
      </c>
      <c r="B8" s="13">
        <v>0</v>
      </c>
      <c r="C8" s="13">
        <v>10</v>
      </c>
      <c r="D8" s="14" t="s">
        <v>115</v>
      </c>
      <c r="E8" s="13">
        <v>1</v>
      </c>
      <c r="F8" s="15">
        <v>170</v>
      </c>
      <c r="G8" s="2"/>
      <c r="H8" s="8" t="s">
        <v>454</v>
      </c>
      <c r="I8" s="10">
        <f>IF(OR($E$8="missing",$E$8=0,$F$8="missing"),"missing",MOD($F$8+180,360)-180)</f>
        <v>170</v>
      </c>
      <c r="J8" s="11">
        <v>170</v>
      </c>
      <c r="K8" s="9" t="str">
        <f t="shared" ref="K8:K13" si="0">IF(AND(ISNUMBER(I8),ISNUMBER(J8)),"n/a (angle)",IF(ISBLANK(J8),"missing export",IF(ISBLANK(I8),"missing input","n/a")))</f>
        <v>n/a (angle)</v>
      </c>
      <c r="L8" s="23">
        <f t="shared" ref="L8:L13" si="1">IF(AND(ISNUMBER(I8),ISNUMBER(J8)),ABS(MOD((J8-I8)+180,360)-180),"n/a")</f>
        <v>0</v>
      </c>
    </row>
    <row r="9" spans="1:12" ht="32" customHeight="1">
      <c r="A9" s="21">
        <v>-90</v>
      </c>
      <c r="B9" s="13">
        <v>0</v>
      </c>
      <c r="C9" s="13">
        <v>10</v>
      </c>
      <c r="D9" s="14" t="s">
        <v>115</v>
      </c>
      <c r="E9" s="13">
        <v>4</v>
      </c>
      <c r="F9" s="15">
        <v>-170</v>
      </c>
      <c r="G9" s="2"/>
      <c r="H9" s="8" t="s">
        <v>455</v>
      </c>
      <c r="I9" s="10">
        <f>IF(OR($E$9="missing",$E$9=0,$F$9="missing"),"missing",MOD($F$9+180,360)-180)</f>
        <v>-170</v>
      </c>
      <c r="J9" s="11">
        <v>-170</v>
      </c>
      <c r="K9" s="9" t="str">
        <f t="shared" si="0"/>
        <v>n/a (angle)</v>
      </c>
      <c r="L9" s="23">
        <f t="shared" si="1"/>
        <v>0</v>
      </c>
    </row>
    <row r="10" spans="1:12" ht="32" customHeight="1">
      <c r="A10" s="21">
        <v>-30</v>
      </c>
      <c r="B10" s="13">
        <v>0</v>
      </c>
      <c r="C10" s="13">
        <v>10</v>
      </c>
      <c r="D10" s="14" t="s">
        <v>115</v>
      </c>
      <c r="E10" s="13">
        <v>9</v>
      </c>
      <c r="F10" s="15">
        <v>30</v>
      </c>
      <c r="G10" s="2"/>
      <c r="H10" s="8" t="s">
        <v>456</v>
      </c>
      <c r="I10" s="10">
        <f>IF(OR($E$10="missing",$E$10=0,$F$10="missing"),"missing",MOD($F$10+180,360)-180)</f>
        <v>30</v>
      </c>
      <c r="J10" s="11">
        <v>30</v>
      </c>
      <c r="K10" s="9" t="str">
        <f t="shared" si="0"/>
        <v>n/a (angle)</v>
      </c>
      <c r="L10" s="23">
        <f t="shared" si="1"/>
        <v>0</v>
      </c>
    </row>
    <row r="11" spans="1:12" ht="32" customHeight="1">
      <c r="A11" s="21">
        <v>30</v>
      </c>
      <c r="B11" s="13">
        <v>0</v>
      </c>
      <c r="C11" s="13">
        <v>10</v>
      </c>
      <c r="D11" s="14" t="s">
        <v>115</v>
      </c>
      <c r="E11" s="13">
        <v>16</v>
      </c>
      <c r="F11" s="15">
        <v>-90</v>
      </c>
      <c r="G11" s="2"/>
      <c r="H11" s="8" t="s">
        <v>457</v>
      </c>
      <c r="I11" s="10">
        <f>IF(OR($E$11="missing",$E$11=0,$F$11="missing"),"missing",MOD($F$11+180,360)-180)</f>
        <v>-90</v>
      </c>
      <c r="J11" s="11">
        <v>-90</v>
      </c>
      <c r="K11" s="9" t="str">
        <f t="shared" si="0"/>
        <v>n/a (angle)</v>
      </c>
      <c r="L11" s="23">
        <f t="shared" si="1"/>
        <v>0</v>
      </c>
    </row>
    <row r="12" spans="1:12" ht="32" customHeight="1">
      <c r="A12" s="21">
        <v>90</v>
      </c>
      <c r="B12" s="13">
        <v>0</v>
      </c>
      <c r="C12" s="13">
        <v>10</v>
      </c>
      <c r="D12" s="14" t="s">
        <v>115</v>
      </c>
      <c r="E12" s="13">
        <v>0</v>
      </c>
      <c r="F12" s="15" t="s">
        <v>168</v>
      </c>
      <c r="G12" s="2"/>
      <c r="H12" s="8" t="s">
        <v>458</v>
      </c>
      <c r="I12" s="10" t="str">
        <f>IF(OR($E$12="missing",$E$12=0,$F$12="missing"),"missing",MOD($F$12+180,360)-180)</f>
        <v>missing</v>
      </c>
      <c r="J12" s="11" t="s">
        <v>168</v>
      </c>
      <c r="K12" s="9" t="str">
        <f t="shared" si="0"/>
        <v>n/a</v>
      </c>
      <c r="L12" s="23" t="str">
        <f t="shared" si="1"/>
        <v>n/a</v>
      </c>
    </row>
    <row r="13" spans="1:12" ht="32" customHeight="1">
      <c r="A13" s="21">
        <v>150</v>
      </c>
      <c r="B13" s="13">
        <v>0</v>
      </c>
      <c r="C13" s="13">
        <v>10</v>
      </c>
      <c r="D13" s="14" t="s">
        <v>115</v>
      </c>
      <c r="E13" s="13" t="s">
        <v>168</v>
      </c>
      <c r="F13" s="15" t="s">
        <v>168</v>
      </c>
      <c r="G13" s="2"/>
      <c r="H13" s="8" t="s">
        <v>459</v>
      </c>
      <c r="I13" s="10" t="str">
        <f>IF(OR($E$13="missing",$E$13=0,$F$13="missing"),"missing",MOD($F$13+180,360)-180)</f>
        <v>missing</v>
      </c>
      <c r="J13" s="11" t="s">
        <v>168</v>
      </c>
      <c r="K13" s="9" t="str">
        <f t="shared" si="0"/>
        <v>n/a</v>
      </c>
      <c r="L13" s="23" t="str">
        <f t="shared" si="1"/>
        <v>n/a</v>
      </c>
    </row>
    <row r="14" spans="1:12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 t="s">
        <v>460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4" t="s">
        <v>122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2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7" customHeight="1">
      <c r="A23" s="4" t="s">
        <v>422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27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462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220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136</v>
      </c>
      <c r="B7" s="6" t="s">
        <v>104</v>
      </c>
      <c r="C7" s="6" t="s">
        <v>105</v>
      </c>
      <c r="D7" s="6" t="s">
        <v>137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463</v>
      </c>
      <c r="B8" s="13">
        <v>-75</v>
      </c>
      <c r="C8" s="13">
        <v>-20</v>
      </c>
      <c r="D8" s="19">
        <v>8000000000</v>
      </c>
      <c r="E8" s="14" t="s">
        <v>115</v>
      </c>
      <c r="F8" s="13">
        <v>1</v>
      </c>
      <c r="G8" s="15">
        <v>10</v>
      </c>
      <c r="H8" s="2"/>
      <c r="I8" s="8" t="s">
        <v>464</v>
      </c>
      <c r="J8" s="10">
        <f>SQRT($F$8)*COS($J$18)</f>
        <v>0.97746490293236898</v>
      </c>
      <c r="K8" s="11">
        <v>0.97746490293236887</v>
      </c>
      <c r="L8" s="9">
        <f t="shared" ref="L8:L13" si="0">IF(AND(ISNUMBER(J8),ISNUMBER(K8)),IF(SIGN(J8)=0,"n/a (zero)",ABS(K8-J8)/ABS(J8)),IF(ISBLANK(K8),"missing export",IF(ISBLANK(J8),"missing input","n/a")))</f>
        <v>1.135818811800318E-16</v>
      </c>
    </row>
    <row r="9" spans="1:12" ht="32" customHeight="1">
      <c r="A9" s="12" t="s">
        <v>465</v>
      </c>
      <c r="B9" s="13">
        <v>-75</v>
      </c>
      <c r="C9" s="13">
        <v>-20</v>
      </c>
      <c r="D9" s="19">
        <v>8000000000</v>
      </c>
      <c r="E9" s="14" t="s">
        <v>115</v>
      </c>
      <c r="F9" s="13">
        <v>1</v>
      </c>
      <c r="G9" s="15">
        <v>-10</v>
      </c>
      <c r="H9" s="2"/>
      <c r="I9" s="8" t="s">
        <v>466</v>
      </c>
      <c r="J9" s="10">
        <f>SQRT($F$8)*SIN($J$18)</f>
        <v>-0.21109799510041408</v>
      </c>
      <c r="K9" s="11">
        <v>-0.21109799510041399</v>
      </c>
      <c r="L9" s="9">
        <f t="shared" si="0"/>
        <v>3.9444584401324524E-16</v>
      </c>
    </row>
    <row r="10" spans="1:12" ht="32" customHeight="1">
      <c r="A10" s="2"/>
      <c r="B10" s="2"/>
      <c r="C10" s="2"/>
      <c r="D10" s="2"/>
      <c r="E10" s="2"/>
      <c r="F10" s="2"/>
      <c r="G10" s="2"/>
      <c r="H10" s="2"/>
      <c r="I10" s="8" t="s">
        <v>467</v>
      </c>
      <c r="J10" s="10">
        <f>$F$8</f>
        <v>1</v>
      </c>
      <c r="K10" s="11">
        <v>0.99999999999999989</v>
      </c>
      <c r="L10" s="9">
        <f t="shared" si="0"/>
        <v>1.1102230246251565E-16</v>
      </c>
    </row>
    <row r="11" spans="1:12" ht="32" customHeight="1">
      <c r="A11" s="2"/>
      <c r="B11" s="2"/>
      <c r="C11" s="2"/>
      <c r="D11" s="2"/>
      <c r="E11" s="2"/>
      <c r="F11" s="2"/>
      <c r="G11" s="2"/>
      <c r="H11" s="2"/>
      <c r="I11" s="8" t="s">
        <v>468</v>
      </c>
      <c r="J11" s="10">
        <f>SQRT($F$9)*COS($J$20)</f>
        <v>0.97746490293236898</v>
      </c>
      <c r="K11" s="11">
        <v>0.97746490293236887</v>
      </c>
      <c r="L11" s="9">
        <f t="shared" si="0"/>
        <v>1.135818811800318E-16</v>
      </c>
    </row>
    <row r="12" spans="1:12" ht="32" customHeight="1">
      <c r="A12" s="5" t="s">
        <v>156</v>
      </c>
      <c r="B12" s="2"/>
      <c r="C12" s="2"/>
      <c r="D12" s="2"/>
      <c r="E12" s="2"/>
      <c r="F12" s="2"/>
      <c r="G12" s="2"/>
      <c r="H12" s="2"/>
      <c r="I12" s="8" t="s">
        <v>469</v>
      </c>
      <c r="J12" s="10">
        <f>SQRT($F$9)*SIN($J$20)</f>
        <v>0.21109799510041408</v>
      </c>
      <c r="K12" s="11">
        <v>0.21109799510041399</v>
      </c>
      <c r="L12" s="9">
        <f t="shared" si="0"/>
        <v>3.9444584401324524E-16</v>
      </c>
    </row>
    <row r="13" spans="1:12" ht="32" customHeight="1">
      <c r="A13" s="2" t="s">
        <v>470</v>
      </c>
      <c r="B13" s="2"/>
      <c r="C13" s="2"/>
      <c r="D13" s="2"/>
      <c r="E13" s="2"/>
      <c r="F13" s="7">
        <v>3.1E-2</v>
      </c>
      <c r="G13" s="2"/>
      <c r="H13" s="2"/>
      <c r="I13" s="8" t="s">
        <v>471</v>
      </c>
      <c r="J13" s="10">
        <f>$F$9</f>
        <v>1</v>
      </c>
      <c r="K13" s="11">
        <v>0.99999999999999989</v>
      </c>
      <c r="L13" s="9">
        <f t="shared" si="0"/>
        <v>1.1102230246251565E-16</v>
      </c>
    </row>
    <row r="14" spans="1:12" ht="27" customHeight="1">
      <c r="A14" s="2" t="s">
        <v>472</v>
      </c>
      <c r="B14" s="2"/>
      <c r="C14" s="2"/>
      <c r="D14" s="2"/>
      <c r="E14" s="2"/>
      <c r="F14" s="7">
        <v>-1.7000000000000001E-2</v>
      </c>
      <c r="G14" s="2"/>
      <c r="H14" s="2"/>
      <c r="I14" s="2"/>
      <c r="J14" s="2"/>
      <c r="K14" s="2"/>
      <c r="L14" s="2"/>
    </row>
    <row r="15" spans="1:12" ht="27" customHeight="1">
      <c r="A15" s="2" t="s">
        <v>473</v>
      </c>
      <c r="B15" s="2"/>
      <c r="C15" s="2"/>
      <c r="D15" s="2"/>
      <c r="E15" s="2"/>
      <c r="F15" s="7">
        <v>8.9999999999999993E-3</v>
      </c>
      <c r="G15" s="2"/>
      <c r="H15" s="2"/>
      <c r="I15" s="2"/>
      <c r="J15" s="2"/>
      <c r="K15" s="2"/>
      <c r="L15" s="2"/>
    </row>
    <row r="16" spans="1:12" ht="27" customHeight="1">
      <c r="A16" s="2" t="s">
        <v>241</v>
      </c>
      <c r="B16" s="2"/>
      <c r="C16" s="2"/>
      <c r="D16" s="2"/>
      <c r="E16" s="2"/>
      <c r="F16" s="7">
        <v>299792458</v>
      </c>
      <c r="G16" s="2"/>
      <c r="H16" s="2"/>
      <c r="I16" s="5" t="s">
        <v>147</v>
      </c>
      <c r="J16" s="2"/>
      <c r="K16" s="2"/>
      <c r="L16" s="2"/>
    </row>
    <row r="17" spans="1:12" ht="32" customHeight="1">
      <c r="A17" s="2"/>
      <c r="B17" s="2"/>
      <c r="C17" s="2"/>
      <c r="D17" s="2"/>
      <c r="E17" s="2"/>
      <c r="F17" s="2"/>
      <c r="G17" s="2"/>
      <c r="H17" s="2"/>
      <c r="I17" s="8" t="s">
        <v>474</v>
      </c>
      <c r="J17" s="10">
        <f>COS(RADIANS($C$8))*COS(RADIANS($B$8))*$F$13+COS(RADIANS($C$8))*SIN(RADIANS($B$8))*$F$14+SIN(RADIANS($C$8))*$F$15</f>
        <v>1.9891786771157761E-2</v>
      </c>
      <c r="K17" s="2"/>
      <c r="L17" s="2"/>
    </row>
    <row r="18" spans="1:12" ht="32" customHeight="1">
      <c r="A18" s="2"/>
      <c r="B18" s="2"/>
      <c r="C18" s="2"/>
      <c r="D18" s="2"/>
      <c r="E18" s="2"/>
      <c r="F18" s="2"/>
      <c r="G18" s="2"/>
      <c r="H18" s="2"/>
      <c r="I18" s="8" t="s">
        <v>475</v>
      </c>
      <c r="J18" s="10">
        <f>RADIANS($G$8)-1*4*PI()*$D$8*$J$17/$F$16</f>
        <v>-6.4958834399294165</v>
      </c>
      <c r="K18" s="2"/>
      <c r="L18" s="2"/>
    </row>
    <row r="19" spans="1:12" ht="32" customHeight="1">
      <c r="A19" s="2" t="s">
        <v>476</v>
      </c>
      <c r="B19" s="2"/>
      <c r="C19" s="2"/>
      <c r="D19" s="2"/>
      <c r="E19" s="2"/>
      <c r="F19" s="2"/>
      <c r="G19" s="2"/>
      <c r="H19" s="2"/>
      <c r="I19" s="8" t="s">
        <v>477</v>
      </c>
      <c r="J19" s="10">
        <f>COS(RADIANS($C$9))*COS(RADIANS($B$9))*$F$13+COS(RADIANS($C$9))*SIN(RADIANS($B$9))*$F$14+SIN(RADIANS($C$9))*$F$15</f>
        <v>1.9891786771157761E-2</v>
      </c>
      <c r="K19" s="2"/>
      <c r="L19" s="2"/>
    </row>
    <row r="20" spans="1:12" ht="32" customHeight="1">
      <c r="A20" s="2"/>
      <c r="B20" s="2"/>
      <c r="C20" s="2"/>
      <c r="D20" s="2"/>
      <c r="E20" s="2"/>
      <c r="F20" s="2"/>
      <c r="G20" s="2"/>
      <c r="H20" s="2"/>
      <c r="I20" s="8" t="s">
        <v>478</v>
      </c>
      <c r="J20" s="10">
        <f>RADIANS($G$9)--1*4*PI()*$D$9*$J$19/$F$16</f>
        <v>6.4958834399294165</v>
      </c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4" t="s">
        <v>122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33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3" width="11" customWidth="1"/>
    <col min="4" max="4" width="12" customWidth="1"/>
    <col min="5" max="5" width="7" customWidth="1"/>
    <col min="6" max="7" width="11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479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480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100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136</v>
      </c>
      <c r="B7" s="6" t="s">
        <v>104</v>
      </c>
      <c r="C7" s="6" t="s">
        <v>105</v>
      </c>
      <c r="D7" s="6" t="s">
        <v>137</v>
      </c>
      <c r="E7" s="6" t="s">
        <v>107</v>
      </c>
      <c r="F7" s="6" t="s">
        <v>481</v>
      </c>
      <c r="G7" s="6" t="s">
        <v>482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483</v>
      </c>
      <c r="B8" s="13">
        <v>0</v>
      </c>
      <c r="C8" s="13">
        <v>0</v>
      </c>
      <c r="D8" s="19">
        <v>8000000000</v>
      </c>
      <c r="E8" s="14" t="s">
        <v>115</v>
      </c>
      <c r="F8" s="16">
        <v>-9.9999999999999978E-2</v>
      </c>
      <c r="G8" s="20">
        <v>1.3</v>
      </c>
      <c r="H8" s="2"/>
      <c r="I8" s="8" t="s">
        <v>484</v>
      </c>
      <c r="J8" s="10">
        <f>$J$18*COS($J$20)-$J$19*SIN($J$20)</f>
        <v>0.99999999999999989</v>
      </c>
      <c r="K8" s="11">
        <v>0.99999999999999978</v>
      </c>
      <c r="L8" s="9">
        <f>IF(AND(ISNUMBER(J8),ISNUMBER(K8)),IF(SIGN(J8)=0,"n/a (zero)",ABS(K8-J8)/ABS(J8)),IF(ISBLANK(K8),"missing export",IF(ISBLANK(J8),"missing input","n/a")))</f>
        <v>1.1102230246251565E-16</v>
      </c>
    </row>
    <row r="9" spans="1:12" ht="32" customHeight="1">
      <c r="A9" s="12" t="s">
        <v>485</v>
      </c>
      <c r="B9" s="13">
        <v>0</v>
      </c>
      <c r="C9" s="13">
        <v>0</v>
      </c>
      <c r="D9" s="19">
        <v>8000000000</v>
      </c>
      <c r="E9" s="14" t="s">
        <v>115</v>
      </c>
      <c r="F9" s="16">
        <v>-1.1602145099439147</v>
      </c>
      <c r="G9" s="20">
        <v>0.31448734619313684</v>
      </c>
      <c r="H9" s="2"/>
      <c r="I9" s="8" t="s">
        <v>486</v>
      </c>
      <c r="J9" s="10">
        <f>$J$18*SIN($J$20)+$J$19*COS($J$20)</f>
        <v>2</v>
      </c>
      <c r="K9" s="11">
        <v>2.0000000000000004</v>
      </c>
      <c r="L9" s="9">
        <f>IF(AND(ISNUMBER(J9),ISNUMBER(K9)),IF(SIGN(J9)=0,"n/a (zero)",ABS(K9-J9)/ABS(J9)),IF(ISBLANK(K9),"missing export",IF(ISBLANK(J9),"missing input","n/a")))</f>
        <v>2.2204460492503131E-16</v>
      </c>
    </row>
    <row r="10" spans="1:12" ht="32" customHeight="1">
      <c r="A10" s="12" t="s">
        <v>487</v>
      </c>
      <c r="B10" s="13">
        <v>0</v>
      </c>
      <c r="C10" s="13">
        <v>0</v>
      </c>
      <c r="D10" s="19">
        <v>8000000000</v>
      </c>
      <c r="E10" s="14" t="s">
        <v>115</v>
      </c>
      <c r="F10" s="13">
        <v>2</v>
      </c>
      <c r="G10" s="20">
        <v>0.5</v>
      </c>
      <c r="H10" s="2"/>
      <c r="I10" s="8" t="s">
        <v>488</v>
      </c>
      <c r="J10" s="10">
        <f>$J$24*COS($J$26)-$J$25*SIN($J$26)</f>
        <v>1</v>
      </c>
      <c r="K10" s="11">
        <v>0.99999999999999978</v>
      </c>
      <c r="L10" s="9">
        <f>IF(AND(ISNUMBER(J10),ISNUMBER(K10)),IF(SIGN(J10)=0,"n/a (zero)",ABS(K10-J10)/ABS(J10)),IF(ISBLANK(K10),"missing export",IF(ISBLANK(J10),"missing input","n/a")))</f>
        <v>2.2204460492503131E-16</v>
      </c>
    </row>
    <row r="11" spans="1:12" ht="32" customHeight="1">
      <c r="A11" s="12" t="s">
        <v>489</v>
      </c>
      <c r="B11" s="13">
        <v>0</v>
      </c>
      <c r="C11" s="13">
        <v>0</v>
      </c>
      <c r="D11" s="19">
        <v>8000000000</v>
      </c>
      <c r="E11" s="14" t="s">
        <v>115</v>
      </c>
      <c r="F11" s="16">
        <v>-9.9999999999999978E-2</v>
      </c>
      <c r="G11" s="20">
        <v>1.3</v>
      </c>
      <c r="H11" s="2"/>
      <c r="I11" s="8" t="s">
        <v>490</v>
      </c>
      <c r="J11" s="10">
        <f>$J$24*SIN($J$26)+$J$25*COS($J$26)</f>
        <v>2</v>
      </c>
      <c r="K11" s="11">
        <v>2.0000000000000004</v>
      </c>
      <c r="L11" s="9">
        <f>IF(AND(ISNUMBER(J11),ISNUMBER(K11)),IF(SIGN(J11)=0,"n/a (zero)",ABS(K11-J11)/ABS(J11)),IF(ISBLANK(K11),"missing export",IF(ISBLANK(J11),"missing input","n/a")))</f>
        <v>2.2204460492503131E-16</v>
      </c>
    </row>
    <row r="12" spans="1:12" ht="27" customHeight="1">
      <c r="A12" s="12" t="s">
        <v>491</v>
      </c>
      <c r="B12" s="13">
        <v>0</v>
      </c>
      <c r="C12" s="13">
        <v>0</v>
      </c>
      <c r="D12" s="19">
        <v>8000000000</v>
      </c>
      <c r="E12" s="14" t="s">
        <v>115</v>
      </c>
      <c r="F12" s="16">
        <v>0.31448734619313684</v>
      </c>
      <c r="G12" s="20">
        <v>-1.1602145099439147</v>
      </c>
      <c r="H12" s="2"/>
      <c r="I12" s="2"/>
      <c r="J12" s="2"/>
      <c r="K12" s="2"/>
      <c r="L12" s="2"/>
    </row>
    <row r="13" spans="1:12" ht="27" customHeight="1">
      <c r="A13" s="12" t="s">
        <v>492</v>
      </c>
      <c r="B13" s="13">
        <v>0</v>
      </c>
      <c r="C13" s="13">
        <v>0</v>
      </c>
      <c r="D13" s="19">
        <v>8000000000</v>
      </c>
      <c r="E13" s="14" t="s">
        <v>115</v>
      </c>
      <c r="F13" s="13">
        <v>2</v>
      </c>
      <c r="G13" s="20">
        <v>0.5</v>
      </c>
      <c r="H13" s="2"/>
      <c r="I13" s="2"/>
      <c r="J13" s="2"/>
      <c r="K13" s="2"/>
      <c r="L13" s="2"/>
    </row>
    <row r="14" spans="1:12" ht="27" customHeight="1">
      <c r="A14" s="2"/>
      <c r="B14" s="2"/>
      <c r="C14" s="2"/>
      <c r="D14" s="2"/>
      <c r="E14" s="2"/>
      <c r="F14" s="2"/>
      <c r="G14" s="2"/>
      <c r="H14" s="2"/>
      <c r="I14" s="5" t="s">
        <v>147</v>
      </c>
      <c r="J14" s="2"/>
      <c r="K14" s="2"/>
      <c r="L14" s="2"/>
    </row>
    <row r="15" spans="1:12" ht="32" customHeight="1">
      <c r="A15" s="2"/>
      <c r="B15" s="2"/>
      <c r="C15" s="2"/>
      <c r="D15" s="2"/>
      <c r="E15" s="2"/>
      <c r="F15" s="2"/>
      <c r="G15" s="2"/>
      <c r="H15" s="2"/>
      <c r="I15" s="8" t="s">
        <v>493</v>
      </c>
      <c r="J15" s="10">
        <f>$F$9^2+$G$9^2</f>
        <v>1.4450000000000001</v>
      </c>
      <c r="K15" s="2"/>
      <c r="L15" s="2"/>
    </row>
    <row r="16" spans="1:12" ht="32" customHeight="1">
      <c r="A16" s="5" t="s">
        <v>156</v>
      </c>
      <c r="B16" s="2"/>
      <c r="C16" s="2"/>
      <c r="D16" s="2"/>
      <c r="E16" s="2"/>
      <c r="F16" s="2"/>
      <c r="G16" s="2"/>
      <c r="H16" s="2"/>
      <c r="I16" s="8" t="s">
        <v>494</v>
      </c>
      <c r="J16" s="10">
        <f>($F$10*$F$9+$G$10*$G$9)/$J$15</f>
        <v>-1.4970140808244019</v>
      </c>
      <c r="K16" s="2"/>
      <c r="L16" s="2"/>
    </row>
    <row r="17" spans="1:12" ht="32" customHeight="1">
      <c r="A17" s="2" t="s">
        <v>241</v>
      </c>
      <c r="B17" s="2"/>
      <c r="C17" s="2"/>
      <c r="D17" s="2"/>
      <c r="E17" s="2"/>
      <c r="F17" s="7">
        <v>299792458</v>
      </c>
      <c r="G17" s="2"/>
      <c r="H17" s="2"/>
      <c r="I17" s="8" t="s">
        <v>495</v>
      </c>
      <c r="J17" s="10">
        <f>($G$10*$F$9-$F$10*$G$9)/$J$15</f>
        <v>-0.83673491166659586</v>
      </c>
      <c r="K17" s="2"/>
      <c r="L17" s="2"/>
    </row>
    <row r="18" spans="1:12" ht="32" customHeight="1">
      <c r="A18" s="2" t="s">
        <v>496</v>
      </c>
      <c r="B18" s="2"/>
      <c r="C18" s="2"/>
      <c r="D18" s="2"/>
      <c r="E18" s="2"/>
      <c r="F18" s="7">
        <v>1.2500000000000001E-2</v>
      </c>
      <c r="G18" s="2"/>
      <c r="H18" s="2"/>
      <c r="I18" s="8" t="s">
        <v>497</v>
      </c>
      <c r="J18" s="10">
        <f>$F$8*$J$16-$G$8*$J$17</f>
        <v>1.2374567932490148</v>
      </c>
      <c r="K18" s="2"/>
      <c r="L18" s="2"/>
    </row>
    <row r="19" spans="1:12" ht="32" customHeight="1">
      <c r="A19" s="2" t="s">
        <v>498</v>
      </c>
      <c r="B19" s="2"/>
      <c r="C19" s="2"/>
      <c r="D19" s="2"/>
      <c r="E19" s="2"/>
      <c r="F19" s="7">
        <v>-1.2500000000000001E-2</v>
      </c>
      <c r="G19" s="2"/>
      <c r="H19" s="2"/>
      <c r="I19" s="8" t="s">
        <v>499</v>
      </c>
      <c r="J19" s="10">
        <f>$F$8*$J$17+$G$8*$J$16</f>
        <v>-1.8624448139050629</v>
      </c>
      <c r="K19" s="2"/>
      <c r="L19" s="2"/>
    </row>
    <row r="20" spans="1:12" ht="32" customHeight="1">
      <c r="A20" s="2"/>
      <c r="B20" s="2"/>
      <c r="C20" s="2"/>
      <c r="D20" s="2"/>
      <c r="E20" s="2"/>
      <c r="F20" s="2"/>
      <c r="G20" s="2"/>
      <c r="H20" s="2"/>
      <c r="I20" s="8" t="s">
        <v>500</v>
      </c>
      <c r="J20" s="10">
        <f>-4*PI()*$D$8*$F$18/$F$17</f>
        <v>-4.191690043903364</v>
      </c>
      <c r="K20" s="2"/>
      <c r="L20" s="2"/>
    </row>
    <row r="21" spans="1:12" ht="32" customHeight="1">
      <c r="A21" s="2"/>
      <c r="B21" s="2"/>
      <c r="C21" s="2"/>
      <c r="D21" s="2"/>
      <c r="E21" s="2"/>
      <c r="F21" s="2"/>
      <c r="G21" s="2"/>
      <c r="H21" s="2"/>
      <c r="I21" s="8" t="s">
        <v>501</v>
      </c>
      <c r="J21" s="10">
        <f>$F$12^2+$G$12^2</f>
        <v>1.4450000000000001</v>
      </c>
      <c r="K21" s="2"/>
      <c r="L21" s="2"/>
    </row>
    <row r="22" spans="1:12" ht="32" customHeight="1">
      <c r="A22" s="2" t="s">
        <v>502</v>
      </c>
      <c r="B22" s="2"/>
      <c r="C22" s="2"/>
      <c r="D22" s="2"/>
      <c r="E22" s="2"/>
      <c r="F22" s="2"/>
      <c r="G22" s="2"/>
      <c r="H22" s="2"/>
      <c r="I22" s="8" t="s">
        <v>503</v>
      </c>
      <c r="J22" s="10">
        <f>($F$13*$F$12+$G$13*$G$12)/$J$21</f>
        <v>3.3818295788454196E-2</v>
      </c>
      <c r="K22" s="2"/>
      <c r="L22" s="2"/>
    </row>
    <row r="23" spans="1:12" ht="32" customHeight="1">
      <c r="A23" s="2"/>
      <c r="B23" s="2"/>
      <c r="C23" s="2"/>
      <c r="D23" s="2"/>
      <c r="E23" s="2"/>
      <c r="F23" s="2"/>
      <c r="G23" s="2"/>
      <c r="H23" s="2"/>
      <c r="I23" s="8" t="s">
        <v>504</v>
      </c>
      <c r="J23" s="10">
        <f>($G$13*$F$12-$F$13*$G$12)/$J$21</f>
        <v>1.7146523826881646</v>
      </c>
      <c r="K23" s="2"/>
      <c r="L23" s="2"/>
    </row>
    <row r="24" spans="1:12" ht="32" customHeight="1">
      <c r="A24" s="2"/>
      <c r="B24" s="2"/>
      <c r="C24" s="2"/>
      <c r="D24" s="2"/>
      <c r="E24" s="2"/>
      <c r="F24" s="2"/>
      <c r="G24" s="2"/>
      <c r="H24" s="2"/>
      <c r="I24" s="8" t="s">
        <v>505</v>
      </c>
      <c r="J24" s="10">
        <f>$F$11*$J$22-$G$11*$J$23</f>
        <v>-2.2324299270734591</v>
      </c>
      <c r="K24" s="2"/>
      <c r="L24" s="2"/>
    </row>
    <row r="25" spans="1:12" ht="32" customHeight="1">
      <c r="A25" s="2"/>
      <c r="B25" s="2"/>
      <c r="C25" s="2"/>
      <c r="D25" s="2"/>
      <c r="E25" s="2"/>
      <c r="F25" s="2"/>
      <c r="G25" s="2"/>
      <c r="H25" s="2"/>
      <c r="I25" s="8" t="s">
        <v>506</v>
      </c>
      <c r="J25" s="10">
        <f>$F$11*$J$23+$G$11*$J$22</f>
        <v>-0.12750145374382593</v>
      </c>
      <c r="K25" s="2"/>
      <c r="L25" s="2"/>
    </row>
    <row r="26" spans="1:12" ht="32" customHeight="1">
      <c r="A26" s="2"/>
      <c r="B26" s="2"/>
      <c r="C26" s="2"/>
      <c r="D26" s="2"/>
      <c r="E26" s="2"/>
      <c r="F26" s="2"/>
      <c r="G26" s="2"/>
      <c r="H26" s="2"/>
      <c r="I26" s="8" t="s">
        <v>507</v>
      </c>
      <c r="J26" s="10">
        <f>-4*PI()*$D$11*$F$19/$F$17</f>
        <v>4.191690043903364</v>
      </c>
      <c r="K26" s="2"/>
      <c r="L26" s="2"/>
    </row>
    <row r="27" spans="1:12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7" customHeight="1">
      <c r="A31" s="4" t="s">
        <v>122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2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2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3" width="11" customWidth="1"/>
    <col min="4" max="4" width="12" customWidth="1"/>
    <col min="5" max="5" width="7" customWidth="1"/>
    <col min="6" max="7" width="14" customWidth="1"/>
    <col min="8" max="8" width="11" customWidth="1"/>
    <col min="9" max="9" width="3" customWidth="1"/>
    <col min="10" max="10" width="31" customWidth="1"/>
    <col min="11" max="12" width="17" customWidth="1"/>
    <col min="13" max="13" width="15" customWidth="1"/>
  </cols>
  <sheetData>
    <row r="1" spans="1:13" ht="35" customHeight="1">
      <c r="A1" s="3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508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135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/>
      <c r="J6" s="5" t="s">
        <v>102</v>
      </c>
      <c r="K6" s="5"/>
      <c r="L6" s="5"/>
      <c r="M6" s="5"/>
    </row>
    <row r="7" spans="1:13" ht="42" customHeight="1">
      <c r="A7" s="6" t="s">
        <v>136</v>
      </c>
      <c r="B7" s="6" t="s">
        <v>104</v>
      </c>
      <c r="C7" s="6" t="s">
        <v>105</v>
      </c>
      <c r="D7" s="6" t="s">
        <v>137</v>
      </c>
      <c r="E7" s="6" t="s">
        <v>107</v>
      </c>
      <c r="F7" s="6" t="s">
        <v>108</v>
      </c>
      <c r="G7" s="6" t="s">
        <v>109</v>
      </c>
      <c r="H7" s="6" t="s">
        <v>138</v>
      </c>
      <c r="I7" s="2"/>
      <c r="J7" s="6" t="s">
        <v>110</v>
      </c>
      <c r="K7" s="6" t="s">
        <v>111</v>
      </c>
      <c r="L7" s="6" t="s">
        <v>112</v>
      </c>
      <c r="M7" s="6" t="s">
        <v>113</v>
      </c>
    </row>
    <row r="8" spans="1:13" ht="32" customHeight="1">
      <c r="A8" s="12" t="s">
        <v>509</v>
      </c>
      <c r="B8" s="13">
        <v>0</v>
      </c>
      <c r="C8" s="13">
        <v>0</v>
      </c>
      <c r="D8" s="19">
        <v>1000000000</v>
      </c>
      <c r="E8" s="14" t="s">
        <v>115</v>
      </c>
      <c r="F8" s="13">
        <v>4</v>
      </c>
      <c r="G8" s="16">
        <v>-28.125</v>
      </c>
      <c r="H8" s="20">
        <v>1.1710642890624999E-2</v>
      </c>
      <c r="I8" s="2"/>
      <c r="J8" s="8" t="s">
        <v>510</v>
      </c>
      <c r="K8" s="10">
        <f>IF(ABS(SIN($K$18/2))&lt;=0.000000000001,$F$8,$F$8*(SIN($G$21*$K$18/2)/($G$21*IF(ABS(SIN($K$18/2))&lt;=0.000000000001,1,SIN($K$18/2))))^2)</f>
        <v>3.8016172561054806</v>
      </c>
      <c r="L8" s="11">
        <v>3.8016172561054806</v>
      </c>
      <c r="M8" s="9">
        <f t="shared" ref="M8:M13" si="0">IF(AND(ISNUMBER(K8),ISNUMBER(L8)),IF(SIGN(K8)=0,"n/a (zero)",ABS(L8-K8)/ABS(K8)),IF(ISBLANK(L8),"missing export",IF(ISBLANK(K8),"missing input","n/a")))</f>
        <v>0</v>
      </c>
    </row>
    <row r="9" spans="1:13" ht="32" customHeight="1">
      <c r="A9" s="12" t="s">
        <v>509</v>
      </c>
      <c r="B9" s="13">
        <v>0</v>
      </c>
      <c r="C9" s="13">
        <v>0</v>
      </c>
      <c r="D9" s="19">
        <v>2000000000</v>
      </c>
      <c r="E9" s="14" t="s">
        <v>115</v>
      </c>
      <c r="F9" s="13">
        <v>4</v>
      </c>
      <c r="G9" s="16">
        <v>-56.25</v>
      </c>
      <c r="H9" s="20">
        <v>1.1710642890624999E-2</v>
      </c>
      <c r="I9" s="2"/>
      <c r="J9" s="8" t="s">
        <v>511</v>
      </c>
      <c r="K9" s="10">
        <f>(36-$G$20/2)*$G$19/(2*($D$9-$D$8)*$G$20)</f>
        <v>9.3685143124999995E-3</v>
      </c>
      <c r="L9" s="11">
        <v>9.3685143125000012E-3</v>
      </c>
      <c r="M9" s="9">
        <f t="shared" si="0"/>
        <v>1.8516526933862303E-16</v>
      </c>
    </row>
    <row r="10" spans="1:13" ht="32" customHeight="1">
      <c r="A10" s="12" t="s">
        <v>509</v>
      </c>
      <c r="B10" s="13">
        <v>0</v>
      </c>
      <c r="C10" s="13">
        <v>0</v>
      </c>
      <c r="D10" s="19">
        <v>3000000000</v>
      </c>
      <c r="E10" s="14" t="s">
        <v>115</v>
      </c>
      <c r="F10" s="13">
        <v>4</v>
      </c>
      <c r="G10" s="16">
        <v>-84.374999999999986</v>
      </c>
      <c r="H10" s="20">
        <v>1.1710642890624999E-2</v>
      </c>
      <c r="I10" s="2"/>
      <c r="J10" s="8" t="s">
        <v>512</v>
      </c>
      <c r="K10" s="10">
        <f>IF(ABS(SIN($K$20/2))&lt;=0.000000000001,$F$8,$F$8*(SIN($G$21*$K$20/2)/($G$21*IF(ABS(SIN($K$20/2))&lt;=0.000000000001,1,SIN($K$20/2))))^2)</f>
        <v>4</v>
      </c>
      <c r="L10" s="11">
        <v>3.9999999999999991</v>
      </c>
      <c r="M10" s="9">
        <f t="shared" si="0"/>
        <v>2.2204460492503131E-16</v>
      </c>
    </row>
    <row r="11" spans="1:13" ht="32" customHeight="1">
      <c r="A11" s="12" t="s">
        <v>509</v>
      </c>
      <c r="B11" s="13">
        <v>0</v>
      </c>
      <c r="C11" s="13">
        <v>0</v>
      </c>
      <c r="D11" s="19">
        <v>4000000000</v>
      </c>
      <c r="E11" s="14" t="s">
        <v>115</v>
      </c>
      <c r="F11" s="13">
        <v>4</v>
      </c>
      <c r="G11" s="16">
        <v>-112.5</v>
      </c>
      <c r="H11" s="20">
        <v>1.1710642890624999E-2</v>
      </c>
      <c r="I11" s="2"/>
      <c r="J11" s="8" t="s">
        <v>513</v>
      </c>
      <c r="K11" s="10">
        <f>(37-$G$20/2)*$G$19/(2*($D$9-$D$8)*$G$20)</f>
        <v>1.1710642890624999E-2</v>
      </c>
      <c r="L11" s="11">
        <v>1.1710642890625001E-2</v>
      </c>
      <c r="M11" s="9">
        <f t="shared" si="0"/>
        <v>1.4813221547089841E-16</v>
      </c>
    </row>
    <row r="12" spans="1:13" ht="32" customHeight="1">
      <c r="A12" s="12" t="s">
        <v>509</v>
      </c>
      <c r="B12" s="13">
        <v>0</v>
      </c>
      <c r="C12" s="13">
        <v>0</v>
      </c>
      <c r="D12" s="19">
        <v>5000000000</v>
      </c>
      <c r="E12" s="14" t="s">
        <v>115</v>
      </c>
      <c r="F12" s="13">
        <v>4</v>
      </c>
      <c r="G12" s="16">
        <v>-140.62499999999997</v>
      </c>
      <c r="H12" s="20">
        <v>1.1710642890624999E-2</v>
      </c>
      <c r="I12" s="2"/>
      <c r="J12" s="8" t="s">
        <v>514</v>
      </c>
      <c r="K12" s="10">
        <f>IF(ABS(SIN($K$22/2))&lt;=0.000000000001,$F$8,$F$8*(SIN($G$21*$K$22/2)/($G$21*IF(ABS(SIN($K$22/2))&lt;=0.000000000001,1,SIN($K$22/2))))^2)</f>
        <v>3.8016172561054806</v>
      </c>
      <c r="L12" s="11">
        <v>3.8016172561054806</v>
      </c>
      <c r="M12" s="9">
        <f t="shared" si="0"/>
        <v>0</v>
      </c>
    </row>
    <row r="13" spans="1:13" ht="32" customHeight="1">
      <c r="A13" s="12" t="s">
        <v>509</v>
      </c>
      <c r="B13" s="13">
        <v>0</v>
      </c>
      <c r="C13" s="13">
        <v>0</v>
      </c>
      <c r="D13" s="19">
        <v>6000000000</v>
      </c>
      <c r="E13" s="14" t="s">
        <v>115</v>
      </c>
      <c r="F13" s="13">
        <v>4</v>
      </c>
      <c r="G13" s="16">
        <v>-168.74999999999997</v>
      </c>
      <c r="H13" s="20">
        <v>1.1710642890624999E-2</v>
      </c>
      <c r="I13" s="2"/>
      <c r="J13" s="8" t="s">
        <v>515</v>
      </c>
      <c r="K13" s="10">
        <f>(38-$G$20/2)*$G$19/(2*($D$9-$D$8)*$G$20)</f>
        <v>1.4052771468749999E-2</v>
      </c>
      <c r="L13" s="11">
        <v>1.4052771468750001E-2</v>
      </c>
      <c r="M13" s="9">
        <f t="shared" si="0"/>
        <v>1.2344351289241536E-16</v>
      </c>
    </row>
    <row r="14" spans="1:13" ht="27" customHeight="1">
      <c r="A14" s="12" t="s">
        <v>509</v>
      </c>
      <c r="B14" s="13">
        <v>0</v>
      </c>
      <c r="C14" s="13">
        <v>0</v>
      </c>
      <c r="D14" s="19">
        <v>7000000000</v>
      </c>
      <c r="E14" s="14" t="s">
        <v>115</v>
      </c>
      <c r="F14" s="13">
        <v>4</v>
      </c>
      <c r="G14" s="16">
        <v>163.125</v>
      </c>
      <c r="H14" s="20">
        <v>1.1710642890624999E-2</v>
      </c>
      <c r="I14" s="2"/>
      <c r="J14" s="2"/>
      <c r="K14" s="2"/>
      <c r="L14" s="2"/>
      <c r="M14" s="2"/>
    </row>
    <row r="15" spans="1:13" ht="27" customHeight="1">
      <c r="A15" s="12" t="s">
        <v>509</v>
      </c>
      <c r="B15" s="13">
        <v>0</v>
      </c>
      <c r="C15" s="13">
        <v>0</v>
      </c>
      <c r="D15" s="19">
        <v>8000000000</v>
      </c>
      <c r="E15" s="14" t="s">
        <v>115</v>
      </c>
      <c r="F15" s="13">
        <v>4</v>
      </c>
      <c r="G15" s="13">
        <v>135</v>
      </c>
      <c r="H15" s="20">
        <v>1.1710642890624999E-2</v>
      </c>
      <c r="I15" s="2"/>
      <c r="J15" s="2"/>
      <c r="K15" s="2"/>
      <c r="L15" s="2"/>
      <c r="M15" s="2"/>
    </row>
    <row r="16" spans="1:13" ht="27" customHeight="1">
      <c r="A16" s="2"/>
      <c r="B16" s="2"/>
      <c r="C16" s="2"/>
      <c r="D16" s="2"/>
      <c r="E16" s="2"/>
      <c r="F16" s="2"/>
      <c r="G16" s="2"/>
      <c r="H16" s="2"/>
      <c r="I16" s="2"/>
      <c r="J16" s="5" t="s">
        <v>147</v>
      </c>
      <c r="K16" s="2"/>
      <c r="L16" s="2"/>
      <c r="M16" s="2"/>
    </row>
    <row r="17" spans="1:13" ht="32" customHeight="1">
      <c r="A17" s="2"/>
      <c r="B17" s="2"/>
      <c r="C17" s="2"/>
      <c r="D17" s="2"/>
      <c r="E17" s="2"/>
      <c r="F17" s="2"/>
      <c r="G17" s="2"/>
      <c r="H17" s="2"/>
      <c r="I17" s="2"/>
      <c r="J17" s="8" t="s">
        <v>516</v>
      </c>
      <c r="K17" s="10">
        <f>(36-$G$20/2)*$G$19/(2*($D$9-$D$8)*$G$20)</f>
        <v>9.3685143124999995E-3</v>
      </c>
      <c r="L17" s="2"/>
      <c r="M17" s="2"/>
    </row>
    <row r="18" spans="1:13" ht="32" customHeight="1">
      <c r="A18" s="5" t="s">
        <v>156</v>
      </c>
      <c r="B18" s="2"/>
      <c r="C18" s="2"/>
      <c r="D18" s="2"/>
      <c r="E18" s="2"/>
      <c r="F18" s="2"/>
      <c r="G18" s="2"/>
      <c r="H18" s="2"/>
      <c r="I18" s="2"/>
      <c r="J18" s="8" t="s">
        <v>517</v>
      </c>
      <c r="K18" s="10">
        <f>4*PI()*($D$9-$D$8)*($K$17-$H$8)/$G$19</f>
        <v>-9.8174770424681035E-2</v>
      </c>
      <c r="L18" s="2"/>
      <c r="M18" s="2"/>
    </row>
    <row r="19" spans="1:13" ht="32" customHeight="1">
      <c r="A19" s="2" t="s">
        <v>157</v>
      </c>
      <c r="B19" s="2"/>
      <c r="C19" s="2"/>
      <c r="D19" s="2"/>
      <c r="E19" s="2"/>
      <c r="F19" s="2"/>
      <c r="G19" s="7">
        <v>299792458</v>
      </c>
      <c r="H19" s="2"/>
      <c r="I19" s="2"/>
      <c r="J19" s="8" t="s">
        <v>518</v>
      </c>
      <c r="K19" s="10">
        <f>(37-$G$20/2)*$G$19/(2*($D$9-$D$8)*$G$20)</f>
        <v>1.1710642890624999E-2</v>
      </c>
      <c r="L19" s="2"/>
      <c r="M19" s="2"/>
    </row>
    <row r="20" spans="1:13" ht="32" customHeight="1">
      <c r="A20" s="2" t="s">
        <v>158</v>
      </c>
      <c r="B20" s="2"/>
      <c r="C20" s="2"/>
      <c r="D20" s="2"/>
      <c r="E20" s="2"/>
      <c r="F20" s="2"/>
      <c r="G20" s="7">
        <v>64</v>
      </c>
      <c r="H20" s="2"/>
      <c r="I20" s="2"/>
      <c r="J20" s="8" t="s">
        <v>519</v>
      </c>
      <c r="K20" s="10">
        <f>4*PI()*($D$9-$D$8)*($K$19-$H$8)/$G$19</f>
        <v>0</v>
      </c>
      <c r="L20" s="2"/>
      <c r="M20" s="2"/>
    </row>
    <row r="21" spans="1:13" ht="32" customHeight="1">
      <c r="A21" s="2" t="s">
        <v>159</v>
      </c>
      <c r="B21" s="2"/>
      <c r="C21" s="2"/>
      <c r="D21" s="2"/>
      <c r="E21" s="2"/>
      <c r="F21" s="2"/>
      <c r="G21" s="7">
        <v>8</v>
      </c>
      <c r="H21" s="2"/>
      <c r="I21" s="2"/>
      <c r="J21" s="8" t="s">
        <v>520</v>
      </c>
      <c r="K21" s="10">
        <f>(38-$G$20/2)*$G$19/(2*($D$9-$D$8)*$G$20)</f>
        <v>1.4052771468749999E-2</v>
      </c>
      <c r="L21" s="2"/>
      <c r="M21" s="2"/>
    </row>
    <row r="22" spans="1:13" ht="32" customHeight="1">
      <c r="A22" s="2"/>
      <c r="B22" s="2"/>
      <c r="C22" s="2"/>
      <c r="D22" s="2"/>
      <c r="E22" s="2"/>
      <c r="F22" s="2"/>
      <c r="G22" s="2"/>
      <c r="H22" s="2"/>
      <c r="I22" s="2"/>
      <c r="J22" s="8" t="s">
        <v>521</v>
      </c>
      <c r="K22" s="10">
        <f>4*PI()*($D$9-$D$8)*($K$21-$H$8)/$G$19</f>
        <v>9.8174770424681035E-2</v>
      </c>
      <c r="L22" s="2"/>
      <c r="M22" s="2"/>
    </row>
    <row r="23" spans="1:13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7" customHeight="1">
      <c r="A24" s="2" t="s">
        <v>522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31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523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524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3">
        <v>0</v>
      </c>
      <c r="C8" s="13">
        <v>0</v>
      </c>
      <c r="D8" s="13">
        <v>10</v>
      </c>
      <c r="E8" s="14" t="s">
        <v>115</v>
      </c>
      <c r="F8" s="13">
        <v>1</v>
      </c>
      <c r="G8" s="15">
        <v>0</v>
      </c>
      <c r="H8" s="2"/>
      <c r="I8" s="8" t="s">
        <v>525</v>
      </c>
      <c r="J8" s="10">
        <f>$F$14</f>
        <v>5</v>
      </c>
      <c r="K8" s="11">
        <v>5</v>
      </c>
      <c r="L8" s="9">
        <f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119</v>
      </c>
      <c r="B9" s="13">
        <v>10</v>
      </c>
      <c r="C9" s="13">
        <v>0</v>
      </c>
      <c r="D9" s="13">
        <v>10</v>
      </c>
      <c r="E9" s="14" t="s">
        <v>115</v>
      </c>
      <c r="F9" s="13">
        <v>5</v>
      </c>
      <c r="G9" s="20">
        <v>26.56505117707799</v>
      </c>
      <c r="H9" s="2"/>
      <c r="I9" s="8" t="s">
        <v>526</v>
      </c>
      <c r="J9" s="10">
        <f>$J$17^2+$J$18^2</f>
        <v>2.5</v>
      </c>
      <c r="K9" s="11">
        <v>2.5</v>
      </c>
      <c r="L9" s="9">
        <f>IF(AND(ISNUMBER(J9),ISNUMBER(K9)),IF(SIGN(J9)=0,"n/a (zero)",ABS(K9-J9)/ABS(J9)),IF(ISBLANK(K9),"missing export",IF(ISBLANK(J9),"missing input","n/a")))</f>
        <v>0</v>
      </c>
    </row>
    <row r="10" spans="1:12" ht="32" customHeight="1">
      <c r="A10" s="12" t="s">
        <v>119</v>
      </c>
      <c r="B10" s="13">
        <v>20</v>
      </c>
      <c r="C10" s="13">
        <v>0</v>
      </c>
      <c r="D10" s="13">
        <v>10</v>
      </c>
      <c r="E10" s="14" t="s">
        <v>115</v>
      </c>
      <c r="F10" s="13">
        <v>9</v>
      </c>
      <c r="G10" s="15">
        <v>0</v>
      </c>
      <c r="H10" s="2"/>
      <c r="I10" s="8" t="s">
        <v>527</v>
      </c>
      <c r="J10" s="10">
        <f>$J$20^2+$J$21^2</f>
        <v>5</v>
      </c>
      <c r="K10" s="11">
        <v>5</v>
      </c>
      <c r="L10" s="9">
        <f>IF(AND(ISNUMBER(J10),ISNUMBER(K10)),IF(SIGN(J10)=0,"n/a (zero)",ABS(K10-J10)/ABS(J10)),IF(ISBLANK(K10),"missing export",IF(ISBLANK(J10),"missing input","n/a")))</f>
        <v>0</v>
      </c>
    </row>
    <row r="11" spans="1:12" ht="32" customHeight="1">
      <c r="A11" s="2"/>
      <c r="B11" s="2"/>
      <c r="C11" s="2"/>
      <c r="D11" s="2"/>
      <c r="E11" s="2"/>
      <c r="F11" s="2"/>
      <c r="G11" s="2"/>
      <c r="H11" s="2"/>
      <c r="I11" s="8" t="s">
        <v>528</v>
      </c>
      <c r="J11" s="10">
        <f>$F$16</f>
        <v>15</v>
      </c>
      <c r="K11" s="11">
        <v>15</v>
      </c>
      <c r="L11" s="9">
        <f>IF(AND(ISNUMBER(J11),ISNUMBER(K11)),IF(SIGN(J11)=0,"n/a (zero)",ABS(K11-J11)/ABS(J11)),IF(ISBLANK(K11),"missing export",IF(ISBLANK(J11),"missing input","n/a")))</f>
        <v>0</v>
      </c>
    </row>
    <row r="12" spans="1:12" ht="32" customHeight="1">
      <c r="A12" s="2"/>
      <c r="B12" s="2"/>
      <c r="C12" s="2"/>
      <c r="D12" s="2"/>
      <c r="E12" s="2"/>
      <c r="F12" s="2"/>
      <c r="G12" s="2"/>
      <c r="H12" s="2"/>
      <c r="I12" s="8" t="s">
        <v>529</v>
      </c>
      <c r="J12" s="10">
        <f>$J$23^2+$J$24^2</f>
        <v>6.5</v>
      </c>
      <c r="K12" s="11">
        <v>6.5</v>
      </c>
      <c r="L12" s="9">
        <f>IF(AND(ISNUMBER(J12),ISNUMBER(K12)),IF(SIGN(J12)=0,"n/a (zero)",ABS(K12-J12)/ABS(J12)),IF(ISBLANK(K12),"missing export",IF(ISBLANK(J12),"missing input","n/a")))</f>
        <v>0</v>
      </c>
    </row>
    <row r="13" spans="1:12" ht="27" customHeight="1">
      <c r="A13" s="5" t="s">
        <v>156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7" customHeight="1">
      <c r="A14" s="2" t="s">
        <v>530</v>
      </c>
      <c r="B14" s="2"/>
      <c r="C14" s="2"/>
      <c r="D14" s="2"/>
      <c r="E14" s="2"/>
      <c r="F14" s="7">
        <v>5</v>
      </c>
      <c r="G14" s="2"/>
      <c r="H14" s="2"/>
      <c r="I14" s="2"/>
      <c r="J14" s="2"/>
      <c r="K14" s="2"/>
      <c r="L14" s="2"/>
    </row>
    <row r="15" spans="1:12" ht="27" customHeight="1">
      <c r="A15" s="2" t="s">
        <v>531</v>
      </c>
      <c r="B15" s="2"/>
      <c r="C15" s="2"/>
      <c r="D15" s="2"/>
      <c r="E15" s="2"/>
      <c r="F15" s="7">
        <v>10</v>
      </c>
      <c r="G15" s="2"/>
      <c r="H15" s="2"/>
      <c r="I15" s="5" t="s">
        <v>147</v>
      </c>
      <c r="J15" s="2"/>
      <c r="K15" s="2"/>
      <c r="L15" s="2"/>
    </row>
    <row r="16" spans="1:12" ht="32" customHeight="1">
      <c r="A16" s="2" t="s">
        <v>532</v>
      </c>
      <c r="B16" s="2"/>
      <c r="C16" s="2"/>
      <c r="D16" s="2"/>
      <c r="E16" s="2"/>
      <c r="F16" s="7">
        <v>15</v>
      </c>
      <c r="G16" s="2"/>
      <c r="H16" s="2"/>
      <c r="I16" s="8" t="s">
        <v>533</v>
      </c>
      <c r="J16" s="10">
        <f>($F$14-$B$8)/($B$9-$B$8)</f>
        <v>0.5</v>
      </c>
      <c r="K16" s="2"/>
      <c r="L16" s="2"/>
    </row>
    <row r="17" spans="1:12" ht="32" customHeight="1">
      <c r="A17" s="2"/>
      <c r="B17" s="2"/>
      <c r="C17" s="2"/>
      <c r="D17" s="2"/>
      <c r="E17" s="2"/>
      <c r="F17" s="2"/>
      <c r="G17" s="2"/>
      <c r="H17" s="2"/>
      <c r="I17" s="8" t="s">
        <v>534</v>
      </c>
      <c r="J17" s="10">
        <f>(1-$J$16)*SQRT($F$8)*COS(RADIANS($G$8))+$J$16*SQRT($F$9)*COS(RADIANS($G$9))</f>
        <v>1.5</v>
      </c>
      <c r="K17" s="2"/>
      <c r="L17" s="2"/>
    </row>
    <row r="18" spans="1:12" ht="32" customHeight="1">
      <c r="A18" s="2"/>
      <c r="B18" s="2"/>
      <c r="C18" s="2"/>
      <c r="D18" s="2"/>
      <c r="E18" s="2"/>
      <c r="F18" s="2"/>
      <c r="G18" s="2"/>
      <c r="H18" s="2"/>
      <c r="I18" s="8" t="s">
        <v>535</v>
      </c>
      <c r="J18" s="10">
        <f>(1-$J$16)*SQRT($F$8)*SIN(RADIANS($G$8))+$J$16*SQRT($F$9)*SIN(RADIANS($G$9))</f>
        <v>0.5</v>
      </c>
      <c r="K18" s="2"/>
      <c r="L18" s="2"/>
    </row>
    <row r="19" spans="1:12" ht="32" customHeight="1">
      <c r="A19" s="2" t="s">
        <v>536</v>
      </c>
      <c r="B19" s="2"/>
      <c r="C19" s="2"/>
      <c r="D19" s="2"/>
      <c r="E19" s="2"/>
      <c r="F19" s="2"/>
      <c r="G19" s="2"/>
      <c r="H19" s="2"/>
      <c r="I19" s="8" t="s">
        <v>537</v>
      </c>
      <c r="J19" s="10">
        <f>($F$15-$B$9)/($B$10-$B$9)</f>
        <v>0</v>
      </c>
      <c r="K19" s="2"/>
      <c r="L19" s="2"/>
    </row>
    <row r="20" spans="1:12" ht="32" customHeight="1">
      <c r="A20" s="2"/>
      <c r="B20" s="2"/>
      <c r="C20" s="2"/>
      <c r="D20" s="2"/>
      <c r="E20" s="2"/>
      <c r="F20" s="2"/>
      <c r="G20" s="2"/>
      <c r="H20" s="2"/>
      <c r="I20" s="8" t="s">
        <v>538</v>
      </c>
      <c r="J20" s="10">
        <f>(1-$J$19)*SQRT($F$9)*COS(RADIANS($G$9))+$J$19*SQRT($F$10)*COS(RADIANS($G$10))</f>
        <v>2</v>
      </c>
      <c r="K20" s="2"/>
      <c r="L20" s="2"/>
    </row>
    <row r="21" spans="1:12" ht="32" customHeight="1">
      <c r="A21" s="2"/>
      <c r="B21" s="2"/>
      <c r="C21" s="2"/>
      <c r="D21" s="2"/>
      <c r="E21" s="2"/>
      <c r="F21" s="2"/>
      <c r="G21" s="2"/>
      <c r="H21" s="2"/>
      <c r="I21" s="8" t="s">
        <v>539</v>
      </c>
      <c r="J21" s="10">
        <f>(1-$J$19)*SQRT($F$9)*SIN(RADIANS($G$9))+$J$19*SQRT($F$10)*SIN(RADIANS($G$10))</f>
        <v>1</v>
      </c>
      <c r="K21" s="2"/>
      <c r="L21" s="2"/>
    </row>
    <row r="22" spans="1:12" ht="32" customHeight="1">
      <c r="A22" s="2"/>
      <c r="B22" s="2"/>
      <c r="C22" s="2"/>
      <c r="D22" s="2"/>
      <c r="E22" s="2"/>
      <c r="F22" s="2"/>
      <c r="G22" s="2"/>
      <c r="H22" s="2"/>
      <c r="I22" s="8" t="s">
        <v>537</v>
      </c>
      <c r="J22" s="10">
        <f>($F$16-$B$9)/($B$10-$B$9)</f>
        <v>0.5</v>
      </c>
      <c r="K22" s="2"/>
      <c r="L22" s="2"/>
    </row>
    <row r="23" spans="1:12" ht="32" customHeight="1">
      <c r="A23" s="2"/>
      <c r="B23" s="2"/>
      <c r="C23" s="2"/>
      <c r="D23" s="2"/>
      <c r="E23" s="2"/>
      <c r="F23" s="2"/>
      <c r="G23" s="2"/>
      <c r="H23" s="2"/>
      <c r="I23" s="8" t="s">
        <v>540</v>
      </c>
      <c r="J23" s="10">
        <f>(1-$J$22)*SQRT($F$9)*COS(RADIANS($G$9))+$J$22*SQRT($F$10)*COS(RADIANS($G$10))</f>
        <v>2.5</v>
      </c>
      <c r="K23" s="2"/>
      <c r="L23" s="2"/>
    </row>
    <row r="24" spans="1:12" ht="32" customHeight="1">
      <c r="A24" s="2"/>
      <c r="B24" s="2"/>
      <c r="C24" s="2"/>
      <c r="D24" s="2"/>
      <c r="E24" s="2"/>
      <c r="F24" s="2"/>
      <c r="G24" s="2"/>
      <c r="H24" s="2"/>
      <c r="I24" s="8" t="s">
        <v>541</v>
      </c>
      <c r="J24" s="10">
        <f>(1-$J$22)*SQRT($F$9)*SIN(RADIANS($G$9))+$J$22*SQRT($F$10)*SIN(RADIANS($G$10))</f>
        <v>0.5</v>
      </c>
      <c r="K24" s="2"/>
      <c r="L24" s="2"/>
    </row>
    <row r="25" spans="1:12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7" customHeight="1">
      <c r="A29" s="4" t="s">
        <v>122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2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2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31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1" customWidth="1"/>
    <col min="2" max="3" width="14" customWidth="1"/>
    <col min="4" max="7" width="11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542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220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104</v>
      </c>
      <c r="B7" s="6" t="s">
        <v>283</v>
      </c>
      <c r="C7" s="6" t="s">
        <v>284</v>
      </c>
      <c r="D7" s="6" t="s">
        <v>543</v>
      </c>
      <c r="E7" s="6" t="s">
        <v>544</v>
      </c>
      <c r="F7" s="6" t="s">
        <v>545</v>
      </c>
      <c r="G7" s="6" t="s">
        <v>546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21">
        <v>0</v>
      </c>
      <c r="B8" s="13">
        <v>1</v>
      </c>
      <c r="C8" s="13">
        <v>4</v>
      </c>
      <c r="D8" s="24">
        <f>10*LOG10($B$8)</f>
        <v>0</v>
      </c>
      <c r="E8" s="24">
        <f>10*LOG10($C$8)</f>
        <v>6.0205999132796242</v>
      </c>
      <c r="F8" s="24">
        <f>$D$8-$E$8</f>
        <v>-6.0205999132796242</v>
      </c>
      <c r="G8" s="22">
        <f>ABS($F$8)</f>
        <v>6.0205999132796242</v>
      </c>
      <c r="H8" s="2"/>
      <c r="I8" s="8" t="s">
        <v>547</v>
      </c>
      <c r="J8" s="10">
        <f>IF($J$22=0,1,MAX(-1,MIN(1,2*$J$21/$J$22)))</f>
        <v>0.31418522860492382</v>
      </c>
      <c r="K8" s="11">
        <v>0.31418522860492382</v>
      </c>
      <c r="L8" s="9">
        <f t="shared" ref="L8:L13" si="0">IF(AND(ISNUMBER(J8),ISNUMBER(K8)),IF(SIGN(J8)=0,"n/a (zero)",ABS(K8-J8)/ABS(J8)),IF(ISBLANK(K8),"missing export",IF(ISBLANK(J8),"missing input","n/a")))</f>
        <v>0</v>
      </c>
    </row>
    <row r="9" spans="1:12" ht="32" customHeight="1">
      <c r="A9" s="21">
        <v>10</v>
      </c>
      <c r="B9" s="13">
        <v>2</v>
      </c>
      <c r="C9" s="13">
        <v>8</v>
      </c>
      <c r="D9" s="24">
        <f>10*LOG10($B$9)</f>
        <v>3.0102999566398121</v>
      </c>
      <c r="E9" s="24">
        <f>10*LOG10($C$9)</f>
        <v>9.0308998699194358</v>
      </c>
      <c r="F9" s="24">
        <f>$D$9-$E$9</f>
        <v>-6.0205999132796233</v>
      </c>
      <c r="G9" s="22">
        <f>ABS($F$9)</f>
        <v>6.0205999132796233</v>
      </c>
      <c r="H9" s="2"/>
      <c r="I9" s="8" t="s">
        <v>548</v>
      </c>
      <c r="J9" s="10">
        <f>SQRT($J$23/$J$24)</f>
        <v>1.0289915108550531</v>
      </c>
      <c r="K9" s="11">
        <v>1.0289915108550531</v>
      </c>
      <c r="L9" s="9">
        <f t="shared" si="0"/>
        <v>0</v>
      </c>
    </row>
    <row r="10" spans="1:12" ht="32" customHeight="1">
      <c r="A10" s="21">
        <v>20</v>
      </c>
      <c r="B10" s="13">
        <v>4</v>
      </c>
      <c r="C10" s="13">
        <v>16</v>
      </c>
      <c r="D10" s="24">
        <f>10*LOG10($B$10)</f>
        <v>6.0205999132796242</v>
      </c>
      <c r="E10" s="24">
        <f>10*LOG10($C$10)</f>
        <v>12.041199826559248</v>
      </c>
      <c r="F10" s="24">
        <f>$D$10-$E$10</f>
        <v>-6.0205999132796242</v>
      </c>
      <c r="G10" s="22">
        <f>ABS($F$10)</f>
        <v>6.0205999132796242</v>
      </c>
      <c r="H10" s="2"/>
      <c r="I10" s="8" t="s">
        <v>549</v>
      </c>
      <c r="J10" s="10">
        <f>MEDIAN($F$8:$F$13)</f>
        <v>-6.0205999132796233</v>
      </c>
      <c r="K10" s="11">
        <v>-6.0205999132796233</v>
      </c>
      <c r="L10" s="9">
        <f t="shared" si="0"/>
        <v>0</v>
      </c>
    </row>
    <row r="11" spans="1:12" ht="32" customHeight="1">
      <c r="A11" s="21">
        <v>30</v>
      </c>
      <c r="B11" s="13">
        <v>8</v>
      </c>
      <c r="C11" s="13">
        <v>32</v>
      </c>
      <c r="D11" s="24">
        <f>10*LOG10($B$11)</f>
        <v>9.0308998699194358</v>
      </c>
      <c r="E11" s="24">
        <f>10*LOG10($C$11)</f>
        <v>15.051499783199061</v>
      </c>
      <c r="F11" s="24">
        <f>$D$11-$E$11</f>
        <v>-6.0205999132796251</v>
      </c>
      <c r="G11" s="22">
        <f>ABS($F$11)</f>
        <v>6.0205999132796251</v>
      </c>
      <c r="H11" s="2"/>
      <c r="I11" s="8" t="s">
        <v>550</v>
      </c>
      <c r="J11" s="10">
        <f>AVERAGE($G$8:$G$13)</f>
        <v>6.0205999132796242</v>
      </c>
      <c r="K11" s="11">
        <v>6.0205999132796242</v>
      </c>
      <c r="L11" s="9">
        <f t="shared" si="0"/>
        <v>0</v>
      </c>
    </row>
    <row r="12" spans="1:12" ht="32" customHeight="1">
      <c r="A12" s="21">
        <v>40</v>
      </c>
      <c r="B12" s="13">
        <v>16</v>
      </c>
      <c r="C12" s="13">
        <v>64</v>
      </c>
      <c r="D12" s="24">
        <f>10*LOG10($B$12)</f>
        <v>12.041199826559248</v>
      </c>
      <c r="E12" s="24">
        <f>10*LOG10($C$12)</f>
        <v>18.061799739838872</v>
      </c>
      <c r="F12" s="24">
        <f>$D$12-$E$12</f>
        <v>-6.0205999132796233</v>
      </c>
      <c r="G12" s="22">
        <f>ABS($F$12)</f>
        <v>6.0205999132796233</v>
      </c>
      <c r="H12" s="2"/>
      <c r="I12" s="8" t="s">
        <v>551</v>
      </c>
      <c r="J12" s="10">
        <f>_xlfn.PERCENTILE.INC($G$8:$G$13,0.95)</f>
        <v>6.0205999132796251</v>
      </c>
      <c r="K12" s="11">
        <v>6.0205999132796251</v>
      </c>
      <c r="L12" s="9">
        <f t="shared" si="0"/>
        <v>0</v>
      </c>
    </row>
    <row r="13" spans="1:12" ht="32" customHeight="1">
      <c r="A13" s="21">
        <v>50</v>
      </c>
      <c r="B13" s="13">
        <v>32</v>
      </c>
      <c r="C13" s="13">
        <v>128</v>
      </c>
      <c r="D13" s="24">
        <f>10*LOG10($B$13)</f>
        <v>15.051499783199061</v>
      </c>
      <c r="E13" s="24">
        <f>10*LOG10($C$13)</f>
        <v>21.072099696478684</v>
      </c>
      <c r="F13" s="24">
        <f>$D$13-$E$13</f>
        <v>-6.0205999132796233</v>
      </c>
      <c r="G13" s="22">
        <f>ABS($F$13)</f>
        <v>6.0205999132796233</v>
      </c>
      <c r="H13" s="2"/>
      <c r="I13" s="8" t="s">
        <v>552</v>
      </c>
      <c r="J13" s="10">
        <f>INDEX($A$8:$A$13,MATCH(MAX($B$8:$B$13),$B$8:$B$13,0))-INDEX($A$8:$A$13,MATCH(MAX($C$8:$C$13),$C$8:$C$13,0))</f>
        <v>0</v>
      </c>
      <c r="K13" s="11">
        <v>0</v>
      </c>
      <c r="L13" s="9" t="str">
        <f t="shared" si="0"/>
        <v>n/a (zero)</v>
      </c>
    </row>
    <row r="14" spans="1:12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7" customHeight="1">
      <c r="A16" s="2"/>
      <c r="B16" s="2"/>
      <c r="C16" s="2"/>
      <c r="D16" s="2"/>
      <c r="E16" s="2"/>
      <c r="F16" s="2"/>
      <c r="G16" s="2"/>
      <c r="H16" s="2"/>
      <c r="I16" s="5" t="s">
        <v>147</v>
      </c>
      <c r="J16" s="2"/>
      <c r="K16" s="2"/>
      <c r="L16" s="2"/>
    </row>
    <row r="17" spans="1:12" ht="32" customHeight="1">
      <c r="A17" s="2"/>
      <c r="B17" s="2"/>
      <c r="C17" s="2"/>
      <c r="D17" s="2"/>
      <c r="E17" s="2"/>
      <c r="F17" s="2"/>
      <c r="G17" s="2"/>
      <c r="H17" s="2"/>
      <c r="I17" s="8" t="s">
        <v>553</v>
      </c>
      <c r="J17" s="10">
        <f>AVERAGE($B$8,$B$9,$B$10,$B$11,$B$12,$B$13)</f>
        <v>10.5</v>
      </c>
      <c r="K17" s="2"/>
      <c r="L17" s="2"/>
    </row>
    <row r="18" spans="1:12" ht="32" customHeight="1">
      <c r="A18" s="2"/>
      <c r="B18" s="2"/>
      <c r="C18" s="2"/>
      <c r="D18" s="2"/>
      <c r="E18" s="2"/>
      <c r="F18" s="2"/>
      <c r="G18" s="2"/>
      <c r="H18" s="2"/>
      <c r="I18" s="8" t="s">
        <v>554</v>
      </c>
      <c r="J18" s="10">
        <f>AVERAGE($C$8,$C$9,$C$10,$C$11,$C$12,$C$13)</f>
        <v>42</v>
      </c>
      <c r="K18" s="2"/>
      <c r="L18" s="2"/>
    </row>
    <row r="19" spans="1:12" ht="32" customHeight="1">
      <c r="A19" s="2" t="s">
        <v>555</v>
      </c>
      <c r="B19" s="2"/>
      <c r="C19" s="2"/>
      <c r="D19" s="2"/>
      <c r="E19" s="2"/>
      <c r="F19" s="2"/>
      <c r="G19" s="2"/>
      <c r="H19" s="2"/>
      <c r="I19" s="8" t="s">
        <v>556</v>
      </c>
      <c r="J19" s="10">
        <f>(($B$8-$J$17)^2+($B$9-$J$17)^2+($B$10-$J$17)^2+($B$11-$J$17)^2+($B$12-$J$17)^2+($B$13-$J$17)^2)/6</f>
        <v>117.25</v>
      </c>
      <c r="K19" s="2"/>
      <c r="L19" s="2"/>
    </row>
    <row r="20" spans="1:12" ht="32" customHeight="1">
      <c r="A20" s="2"/>
      <c r="B20" s="2"/>
      <c r="C20" s="2"/>
      <c r="D20" s="2"/>
      <c r="E20" s="2"/>
      <c r="F20" s="2"/>
      <c r="G20" s="2"/>
      <c r="H20" s="2"/>
      <c r="I20" s="8" t="s">
        <v>557</v>
      </c>
      <c r="J20" s="10">
        <f>(($C$8-$J$18)^2+($C$9-$J$18)^2+($C$10-$J$18)^2+($C$11-$J$18)^2+($C$12-$J$18)^2+($C$13-$J$18)^2)/6</f>
        <v>1876</v>
      </c>
      <c r="K20" s="2"/>
      <c r="L20" s="2"/>
    </row>
    <row r="21" spans="1:12" ht="32" customHeight="1">
      <c r="A21" s="2"/>
      <c r="B21" s="2"/>
      <c r="C21" s="2"/>
      <c r="D21" s="2"/>
      <c r="E21" s="2"/>
      <c r="F21" s="2"/>
      <c r="G21" s="2"/>
      <c r="H21" s="2"/>
      <c r="I21" s="8" t="s">
        <v>558</v>
      </c>
      <c r="J21" s="10">
        <f>(($B$8-$J$17)*($C$8-$J$18)+($B$9-$J$17)*($C$9-$J$18)+($B$10-$J$17)*($C$10-$J$18)+($B$11-$J$17)*($C$11-$J$18)+($B$12-$J$17)*($C$12-$J$18)+($B$13-$J$17)*($C$13-$J$18))/6</f>
        <v>469</v>
      </c>
      <c r="K21" s="2"/>
      <c r="L21" s="2"/>
    </row>
    <row r="22" spans="1:12" ht="32" customHeight="1">
      <c r="A22" s="2"/>
      <c r="B22" s="2"/>
      <c r="C22" s="2"/>
      <c r="D22" s="2"/>
      <c r="E22" s="2"/>
      <c r="F22" s="2"/>
      <c r="G22" s="2"/>
      <c r="H22" s="2"/>
      <c r="I22" s="8" t="s">
        <v>559</v>
      </c>
      <c r="J22" s="10">
        <f>$J$19+$J$20+($J$17-$J$18)^2</f>
        <v>2985.5</v>
      </c>
      <c r="K22" s="2"/>
      <c r="L22" s="2"/>
    </row>
    <row r="23" spans="1:12" ht="32" customHeight="1">
      <c r="A23" s="2"/>
      <c r="B23" s="2"/>
      <c r="C23" s="2"/>
      <c r="D23" s="2"/>
      <c r="E23" s="2"/>
      <c r="F23" s="2"/>
      <c r="G23" s="2"/>
      <c r="H23" s="2"/>
      <c r="I23" s="8" t="s">
        <v>560</v>
      </c>
      <c r="J23" s="10">
        <f>(($B$8-$C$8)^2+($B$9-$C$9)^2+($B$10-$C$10)^2+($B$11-$C$11)^2+($B$12-$C$12)^2+($B$13-$C$13)^2)/6</f>
        <v>2047.5</v>
      </c>
      <c r="K23" s="2"/>
      <c r="L23" s="2"/>
    </row>
    <row r="24" spans="1:12" ht="32" customHeight="1">
      <c r="A24" s="2"/>
      <c r="B24" s="2"/>
      <c r="C24" s="2"/>
      <c r="D24" s="2"/>
      <c r="E24" s="2"/>
      <c r="F24" s="2"/>
      <c r="G24" s="2"/>
      <c r="H24" s="2"/>
      <c r="I24" s="8" t="s">
        <v>561</v>
      </c>
      <c r="J24" s="10">
        <f>(($B$8^2+$C$8^2)/2+($B$9^2+$C$9^2)/2+($B$10^2+$C$10^2)/2+($B$11^2+$C$11^2)/2+($B$12^2+$C$12^2)/2+($B$13^2+$C$13^2)/2)/6</f>
        <v>1933.75</v>
      </c>
      <c r="K24" s="2"/>
      <c r="L24" s="2"/>
    </row>
    <row r="25" spans="1:12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7" customHeight="1">
      <c r="A29" s="4" t="s">
        <v>122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2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2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5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562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6">
        <v>-1.25</v>
      </c>
      <c r="C8" s="16">
        <v>-2.36</v>
      </c>
      <c r="D8" s="16">
        <v>9.14</v>
      </c>
      <c r="E8" s="14" t="s">
        <v>115</v>
      </c>
      <c r="F8" s="13">
        <v>1</v>
      </c>
      <c r="G8" s="15">
        <v>-150</v>
      </c>
      <c r="H8" s="2"/>
      <c r="I8" s="8" t="s">
        <v>116</v>
      </c>
      <c r="J8" s="10">
        <f>IF(MOD(ABS(($B$8*10^$F$16)),1)=0.5,2*ROUND(($B$8*10^$F$16)/2,0),ROUND(($B$8*10^$F$16),0))/10^$F$16</f>
        <v>-1.2</v>
      </c>
      <c r="K8" s="11">
        <v>-1.2</v>
      </c>
      <c r="L8" s="9">
        <f t="shared" ref="L8:L15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119</v>
      </c>
      <c r="B9" s="16">
        <v>-1.25</v>
      </c>
      <c r="C9" s="16">
        <v>-2.36</v>
      </c>
      <c r="D9" s="16">
        <v>10.26</v>
      </c>
      <c r="E9" s="14" t="s">
        <v>115</v>
      </c>
      <c r="F9" s="13">
        <v>2</v>
      </c>
      <c r="G9" s="15">
        <v>-137</v>
      </c>
      <c r="H9" s="2"/>
      <c r="I9" s="8" t="s">
        <v>222</v>
      </c>
      <c r="J9" s="10">
        <f>IF(MOD(ABS(($C$8*10^$F$16)),1)=0.5,2*ROUND(($C$8*10^$F$16)/2,0),ROUND(($C$8*10^$F$16),0))/10^$F$16</f>
        <v>-2.4</v>
      </c>
      <c r="K9" s="11">
        <v>-2.4</v>
      </c>
      <c r="L9" s="9">
        <f t="shared" si="0"/>
        <v>0</v>
      </c>
    </row>
    <row r="10" spans="1:12" ht="32" customHeight="1">
      <c r="A10" s="12" t="s">
        <v>119</v>
      </c>
      <c r="B10" s="16">
        <v>-1.25</v>
      </c>
      <c r="C10" s="16">
        <v>3.24</v>
      </c>
      <c r="D10" s="16">
        <v>9.14</v>
      </c>
      <c r="E10" s="14" t="s">
        <v>115</v>
      </c>
      <c r="F10" s="13">
        <v>3</v>
      </c>
      <c r="G10" s="15">
        <v>-124</v>
      </c>
      <c r="H10" s="2"/>
      <c r="I10" s="8" t="s">
        <v>223</v>
      </c>
      <c r="J10" s="10">
        <f>IF(MOD(ABS(($D$8*10^$F$16)),1)=0.5,2*ROUND(($D$8*10^$F$16)/2,0),ROUND(($D$8*10^$F$16),0))/10^$F$16</f>
        <v>9.1</v>
      </c>
      <c r="K10" s="11">
        <v>9.1</v>
      </c>
      <c r="L10" s="9">
        <f t="shared" si="0"/>
        <v>0</v>
      </c>
    </row>
    <row r="11" spans="1:12" ht="32" customHeight="1">
      <c r="A11" s="12" t="s">
        <v>119</v>
      </c>
      <c r="B11" s="16">
        <v>0.25</v>
      </c>
      <c r="C11" s="16">
        <v>-2.36</v>
      </c>
      <c r="D11" s="16">
        <v>9.14</v>
      </c>
      <c r="E11" s="14" t="s">
        <v>115</v>
      </c>
      <c r="F11" s="13">
        <v>5</v>
      </c>
      <c r="G11" s="15">
        <v>-98</v>
      </c>
      <c r="H11" s="2"/>
      <c r="I11" s="8" t="s">
        <v>117</v>
      </c>
      <c r="J11" s="10">
        <f>$F$8</f>
        <v>1</v>
      </c>
      <c r="K11" s="11">
        <v>1</v>
      </c>
      <c r="L11" s="9">
        <f t="shared" si="0"/>
        <v>0</v>
      </c>
    </row>
    <row r="12" spans="1:12" ht="32" customHeight="1">
      <c r="A12" s="12" t="s">
        <v>119</v>
      </c>
      <c r="B12" s="16">
        <v>2.34</v>
      </c>
      <c r="C12" s="16">
        <v>-2.36</v>
      </c>
      <c r="D12" s="16">
        <v>9.14</v>
      </c>
      <c r="E12" s="14" t="s">
        <v>115</v>
      </c>
      <c r="F12" s="13">
        <v>9</v>
      </c>
      <c r="G12" s="15">
        <v>-46</v>
      </c>
      <c r="H12" s="2"/>
      <c r="I12" s="8" t="s">
        <v>563</v>
      </c>
      <c r="J12" s="10">
        <f>IF(MOD(ABS(($D$9*10^$F$16)),1)=0.5,2*ROUND(($D$9*10^$F$16)/2,0),ROUND(($D$9*10^$F$16),0))/10^$F$16</f>
        <v>10.3</v>
      </c>
      <c r="K12" s="11">
        <v>10.3</v>
      </c>
      <c r="L12" s="9">
        <f t="shared" si="0"/>
        <v>0</v>
      </c>
    </row>
    <row r="13" spans="1:12" ht="32" customHeight="1">
      <c r="A13" s="2"/>
      <c r="B13" s="2"/>
      <c r="C13" s="2"/>
      <c r="D13" s="2"/>
      <c r="E13" s="2"/>
      <c r="F13" s="2"/>
      <c r="G13" s="2"/>
      <c r="H13" s="2"/>
      <c r="I13" s="8" t="s">
        <v>564</v>
      </c>
      <c r="J13" s="10">
        <f>IF(MOD(ABS(($C$10*10^$F$16)),1)=0.5,2*ROUND(($C$10*10^$F$16)/2,0),ROUND(($C$10*10^$F$16),0))/10^$F$16</f>
        <v>3.2</v>
      </c>
      <c r="K13" s="11">
        <v>3.2</v>
      </c>
      <c r="L13" s="9">
        <f t="shared" si="0"/>
        <v>0</v>
      </c>
    </row>
    <row r="14" spans="1:12" ht="32" customHeight="1">
      <c r="A14" s="2"/>
      <c r="B14" s="2"/>
      <c r="C14" s="2"/>
      <c r="D14" s="2"/>
      <c r="E14" s="2"/>
      <c r="F14" s="2"/>
      <c r="G14" s="2"/>
      <c r="H14" s="2"/>
      <c r="I14" s="8" t="s">
        <v>406</v>
      </c>
      <c r="J14" s="10">
        <f>IF(MOD(ABS(($B$11*10^$F$16)),1)=0.5,2*ROUND(($B$11*10^$F$16)/2,0),ROUND(($B$11*10^$F$16),0))/10^$F$16</f>
        <v>0.2</v>
      </c>
      <c r="K14" s="11">
        <v>0.2</v>
      </c>
      <c r="L14" s="9">
        <f t="shared" si="0"/>
        <v>0</v>
      </c>
    </row>
    <row r="15" spans="1:12" ht="32" customHeight="1">
      <c r="A15" s="5" t="s">
        <v>156</v>
      </c>
      <c r="B15" s="2"/>
      <c r="C15" s="2"/>
      <c r="D15" s="2"/>
      <c r="E15" s="2"/>
      <c r="F15" s="2"/>
      <c r="G15" s="2"/>
      <c r="H15" s="2"/>
      <c r="I15" s="8" t="s">
        <v>565</v>
      </c>
      <c r="J15" s="10">
        <f>IF(MOD(ABS(($B$12*10^$F$16)),1)=0.5,2*ROUND(($B$12*10^$F$16)/2,0),ROUND(($B$12*10^$F$16),0))/10^$F$16</f>
        <v>2.2999999999999998</v>
      </c>
      <c r="K15" s="11">
        <v>2.2999999999999998</v>
      </c>
      <c r="L15" s="9">
        <f t="shared" si="0"/>
        <v>0</v>
      </c>
    </row>
    <row r="16" spans="1:12" ht="27" customHeight="1">
      <c r="A16" s="2" t="s">
        <v>566</v>
      </c>
      <c r="B16" s="2"/>
      <c r="C16" s="2"/>
      <c r="D16" s="2"/>
      <c r="E16" s="2"/>
      <c r="F16" s="7">
        <v>1</v>
      </c>
      <c r="G16" s="2"/>
      <c r="H16" s="2"/>
      <c r="I16" s="2"/>
      <c r="J16" s="2"/>
      <c r="K16" s="2"/>
      <c r="L16" s="2"/>
    </row>
    <row r="17" spans="1:12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 t="s">
        <v>567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4" t="s">
        <v>122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24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6" width="14" customWidth="1"/>
    <col min="7" max="7" width="3" customWidth="1"/>
    <col min="8" max="8" width="31" customWidth="1"/>
    <col min="9" max="10" width="17" customWidth="1"/>
    <col min="11" max="11" width="15" customWidth="1"/>
    <col min="12" max="12" width="14" customWidth="1"/>
  </cols>
  <sheetData>
    <row r="1" spans="1:12" ht="35" customHeight="1">
      <c r="A1" s="3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568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569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  <c r="L6" s="5"/>
    </row>
    <row r="7" spans="1:12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6" t="s">
        <v>109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  <c r="L7" s="6" t="s">
        <v>410</v>
      </c>
    </row>
    <row r="8" spans="1:12" ht="32" customHeight="1">
      <c r="A8" s="21">
        <v>-180</v>
      </c>
      <c r="B8" s="13">
        <v>0</v>
      </c>
      <c r="C8" s="16">
        <v>9.5</v>
      </c>
      <c r="D8" s="14" t="s">
        <v>115</v>
      </c>
      <c r="E8" s="13">
        <v>0</v>
      </c>
      <c r="F8" s="15" t="s">
        <v>168</v>
      </c>
      <c r="G8" s="2"/>
      <c r="H8" s="8" t="s">
        <v>570</v>
      </c>
      <c r="I8" s="10">
        <f>$E$8</f>
        <v>0</v>
      </c>
      <c r="J8" s="11">
        <v>0</v>
      </c>
      <c r="K8" s="9" t="str">
        <f>IF(AND(ISNUMBER(I8),ISNUMBER(J8)),IF(SIGN(I8)=0,"n/a (zero)",ABS(J8-I8)/ABS(I8)),IF(ISBLANK(J8),"missing export",IF(ISBLANK(I8),"missing input","n/a")))</f>
        <v>n/a (zero)</v>
      </c>
      <c r="L8" s="2"/>
    </row>
    <row r="9" spans="1:12" ht="32" customHeight="1">
      <c r="A9" s="21">
        <v>-90</v>
      </c>
      <c r="B9" s="13">
        <v>0</v>
      </c>
      <c r="C9" s="16">
        <v>9.5</v>
      </c>
      <c r="D9" s="14" t="s">
        <v>115</v>
      </c>
      <c r="E9" s="13">
        <v>1</v>
      </c>
      <c r="F9" s="15">
        <v>179</v>
      </c>
      <c r="G9" s="2"/>
      <c r="H9" s="8" t="s">
        <v>526</v>
      </c>
      <c r="I9" s="10">
        <f>$E$9</f>
        <v>1</v>
      </c>
      <c r="J9" s="11">
        <v>1</v>
      </c>
      <c r="K9" s="9">
        <f>IF(AND(ISNUMBER(I9),ISNUMBER(J9)),IF(SIGN(I9)=0,"n/a (zero)",ABS(J9-I9)/ABS(I9)),IF(ISBLANK(J9),"missing export",IF(ISBLANK(I9),"missing input","n/a")))</f>
        <v>0</v>
      </c>
      <c r="L9" s="2"/>
    </row>
    <row r="10" spans="1:12" ht="32" customHeight="1">
      <c r="A10" s="21">
        <v>0</v>
      </c>
      <c r="B10" s="13">
        <v>0</v>
      </c>
      <c r="C10" s="16">
        <v>9.5</v>
      </c>
      <c r="D10" s="14" t="s">
        <v>115</v>
      </c>
      <c r="E10" s="19">
        <v>9.9999999999999998E-13</v>
      </c>
      <c r="F10" s="15">
        <v>-179</v>
      </c>
      <c r="G10" s="2"/>
      <c r="H10" s="8" t="s">
        <v>455</v>
      </c>
      <c r="I10" s="10">
        <f>$F$9</f>
        <v>179</v>
      </c>
      <c r="J10" s="11">
        <v>179</v>
      </c>
      <c r="K10" s="9" t="str">
        <f>IF(AND(ISNUMBER(I10),ISNUMBER(J10)),"n/a (angle)",IF(ISBLANK(J10),"missing export",IF(ISBLANK(I10),"missing input","n/a")))</f>
        <v>n/a (angle)</v>
      </c>
      <c r="L10" s="23">
        <f>IF(AND(ISNUMBER(I10),ISNUMBER(J10)),ABS(MOD((J10-I10)+180,360)-180),"n/a")</f>
        <v>0</v>
      </c>
    </row>
    <row r="11" spans="1:12" ht="32" customHeight="1">
      <c r="A11" s="21">
        <v>90</v>
      </c>
      <c r="B11" s="13">
        <v>0</v>
      </c>
      <c r="C11" s="16">
        <v>9.5</v>
      </c>
      <c r="D11" s="14" t="s">
        <v>115</v>
      </c>
      <c r="E11" s="19">
        <v>1000000</v>
      </c>
      <c r="F11" s="15">
        <v>45</v>
      </c>
      <c r="G11" s="2"/>
      <c r="H11" s="8" t="s">
        <v>527</v>
      </c>
      <c r="I11" s="17">
        <f>$E$10</f>
        <v>9.9999999999999998E-13</v>
      </c>
      <c r="J11" s="18">
        <v>9.9999999999999998E-13</v>
      </c>
      <c r="K11" s="9">
        <f>IF(AND(ISNUMBER(I11),ISNUMBER(J11)),IF(SIGN(I11)=0,"n/a (zero)",ABS(J11-I11)/ABS(I11)),IF(ISBLANK(J11),"missing export",IF(ISBLANK(I11),"missing input","n/a")))</f>
        <v>0</v>
      </c>
      <c r="L11" s="2"/>
    </row>
    <row r="12" spans="1:12" ht="32" customHeight="1">
      <c r="A12" s="21">
        <v>180</v>
      </c>
      <c r="B12" s="13">
        <v>0</v>
      </c>
      <c r="C12" s="16">
        <v>9.5</v>
      </c>
      <c r="D12" s="14" t="s">
        <v>115</v>
      </c>
      <c r="E12" s="13" t="s">
        <v>168</v>
      </c>
      <c r="F12" s="15" t="s">
        <v>168</v>
      </c>
      <c r="G12" s="2"/>
      <c r="H12" s="8" t="s">
        <v>456</v>
      </c>
      <c r="I12" s="10">
        <f>$F$10</f>
        <v>-179</v>
      </c>
      <c r="J12" s="11">
        <v>-179</v>
      </c>
      <c r="K12" s="9" t="str">
        <f>IF(AND(ISNUMBER(I12),ISNUMBER(J12)),"n/a (angle)",IF(ISBLANK(J12),"missing export",IF(ISBLANK(I12),"missing input","n/a")))</f>
        <v>n/a (angle)</v>
      </c>
      <c r="L12" s="23">
        <f>IF(AND(ISNUMBER(I12),ISNUMBER(J12)),ABS(MOD((J12-I12)+180,360)-180),"n/a")</f>
        <v>0</v>
      </c>
    </row>
    <row r="13" spans="1:12" ht="32" customHeight="1">
      <c r="A13" s="2"/>
      <c r="B13" s="2"/>
      <c r="C13" s="2"/>
      <c r="D13" s="2"/>
      <c r="E13" s="2"/>
      <c r="F13" s="2"/>
      <c r="G13" s="2"/>
      <c r="H13" s="8" t="s">
        <v>529</v>
      </c>
      <c r="I13" s="17">
        <f>$E$11</f>
        <v>1000000</v>
      </c>
      <c r="J13" s="18">
        <v>1000000</v>
      </c>
      <c r="K13" s="9">
        <f>IF(AND(ISNUMBER(I13),ISNUMBER(J13)),IF(SIGN(I13)=0,"n/a (zero)",ABS(J13-I13)/ABS(I13)),IF(ISBLANK(J13),"missing export",IF(ISBLANK(I13),"missing input","n/a")))</f>
        <v>0</v>
      </c>
      <c r="L13" s="2"/>
    </row>
    <row r="14" spans="1:12" ht="32" customHeight="1">
      <c r="A14" s="2"/>
      <c r="B14" s="2"/>
      <c r="C14" s="2"/>
      <c r="D14" s="2"/>
      <c r="E14" s="2"/>
      <c r="F14" s="2"/>
      <c r="G14" s="2"/>
      <c r="H14" s="8" t="s">
        <v>571</v>
      </c>
      <c r="I14" s="10" t="str">
        <f>$E$12</f>
        <v>missing</v>
      </c>
      <c r="J14" s="11" t="s">
        <v>168</v>
      </c>
      <c r="K14" s="9" t="str">
        <f>IF(AND(ISNUMBER(I14),ISNUMBER(J14)),IF(SIGN(I14)=0,"n/a (zero)",ABS(J14-I14)/ABS(I14)),IF(ISBLANK(J14),"missing export",IF(ISBLANK(I14),"missing input","n/a")))</f>
        <v>n/a</v>
      </c>
      <c r="L14" s="2"/>
    </row>
    <row r="15" spans="1:12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7" customHeight="1">
      <c r="A18" s="2" t="s">
        <v>572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4" t="s">
        <v>122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7" customHeight="1">
      <c r="A24" s="4" t="s">
        <v>422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27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5" width="14" customWidth="1"/>
    <col min="6" max="6" width="3" customWidth="1"/>
    <col min="7" max="7" width="31" customWidth="1"/>
    <col min="8" max="9" width="17" customWidth="1"/>
    <col min="10" max="10" width="15" customWidth="1"/>
  </cols>
  <sheetData>
    <row r="1" spans="1:10" ht="35" customHeight="1">
      <c r="A1" s="3" t="s">
        <v>81</v>
      </c>
      <c r="B1" s="2"/>
      <c r="C1" s="2"/>
      <c r="D1" s="2"/>
      <c r="E1" s="2"/>
      <c r="F1" s="2"/>
      <c r="G1" s="2"/>
      <c r="H1" s="2"/>
      <c r="I1" s="2"/>
      <c r="J1" s="2"/>
    </row>
    <row r="2" spans="1:10" ht="27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7" customHeight="1">
      <c r="A3" s="2" t="s">
        <v>573</v>
      </c>
      <c r="B3" s="2"/>
      <c r="C3" s="2"/>
      <c r="D3" s="2"/>
      <c r="E3" s="2"/>
      <c r="F3" s="2"/>
      <c r="G3" s="2"/>
      <c r="H3" s="2"/>
      <c r="I3" s="2"/>
      <c r="J3" s="2"/>
    </row>
    <row r="4" spans="1:10" ht="27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7" customHeight="1">
      <c r="A5" s="4" t="s">
        <v>574</v>
      </c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>
      <c r="A6" s="5" t="s">
        <v>101</v>
      </c>
      <c r="B6" s="5"/>
      <c r="C6" s="5"/>
      <c r="D6" s="5"/>
      <c r="E6" s="5"/>
      <c r="F6" s="5"/>
      <c r="G6" s="5" t="s">
        <v>102</v>
      </c>
      <c r="H6" s="5"/>
      <c r="I6" s="5"/>
      <c r="J6" s="5"/>
    </row>
    <row r="7" spans="1:10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2"/>
      <c r="G7" s="6" t="s">
        <v>110</v>
      </c>
      <c r="H7" s="6" t="s">
        <v>111</v>
      </c>
      <c r="I7" s="6" t="s">
        <v>112</v>
      </c>
      <c r="J7" s="6" t="s">
        <v>113</v>
      </c>
    </row>
    <row r="8" spans="1:10" ht="32" customHeight="1">
      <c r="A8" s="21">
        <v>0</v>
      </c>
      <c r="B8" s="13">
        <v>0</v>
      </c>
      <c r="C8" s="13">
        <v>10</v>
      </c>
      <c r="D8" s="14" t="s">
        <v>115</v>
      </c>
      <c r="E8" s="15">
        <v>0</v>
      </c>
      <c r="F8" s="2"/>
      <c r="G8" s="8" t="s">
        <v>575</v>
      </c>
      <c r="H8" s="10">
        <f>AVERAGE($E$8:$E$10)</f>
        <v>0.66666666666666663</v>
      </c>
      <c r="I8" s="11">
        <v>0.66666666666666663</v>
      </c>
      <c r="J8" s="9">
        <f t="shared" ref="J8:J17" si="0">IF(AND(ISNUMBER(H8),ISNUMBER(I8)),IF(SIGN(H8)=0,"n/a (zero)",ABS(I8-H8)/ABS(H8)),IF(ISBLANK(I8),"missing export",IF(ISBLANK(H8),"missing input","n/a")))</f>
        <v>0</v>
      </c>
    </row>
    <row r="9" spans="1:10" ht="32" customHeight="1">
      <c r="A9" s="21">
        <v>30</v>
      </c>
      <c r="B9" s="13">
        <v>0</v>
      </c>
      <c r="C9" s="13">
        <v>10</v>
      </c>
      <c r="D9" s="14" t="s">
        <v>115</v>
      </c>
      <c r="E9" s="15">
        <v>1</v>
      </c>
      <c r="F9" s="2"/>
      <c r="G9" s="8" t="s">
        <v>576</v>
      </c>
      <c r="H9" s="10">
        <f>MEDIAN($E$8:$E$10)</f>
        <v>1</v>
      </c>
      <c r="I9" s="11">
        <v>1</v>
      </c>
      <c r="J9" s="9">
        <f t="shared" si="0"/>
        <v>0</v>
      </c>
    </row>
    <row r="10" spans="1:10" ht="32" customHeight="1">
      <c r="A10" s="21">
        <v>60</v>
      </c>
      <c r="B10" s="13">
        <v>0</v>
      </c>
      <c r="C10" s="13">
        <v>10</v>
      </c>
      <c r="D10" s="14" t="s">
        <v>115</v>
      </c>
      <c r="E10" s="15">
        <v>1</v>
      </c>
      <c r="F10" s="2"/>
      <c r="G10" s="8" t="s">
        <v>577</v>
      </c>
      <c r="H10" s="10">
        <f>MIN($E$8:$E$10)</f>
        <v>0</v>
      </c>
      <c r="I10" s="11">
        <v>0</v>
      </c>
      <c r="J10" s="9" t="str">
        <f t="shared" si="0"/>
        <v>n/a (zero)</v>
      </c>
    </row>
    <row r="11" spans="1:10" ht="32" customHeight="1">
      <c r="A11" s="21">
        <v>90</v>
      </c>
      <c r="B11" s="13">
        <v>0</v>
      </c>
      <c r="C11" s="13">
        <v>10</v>
      </c>
      <c r="D11" s="14" t="s">
        <v>115</v>
      </c>
      <c r="E11" s="15">
        <v>4</v>
      </c>
      <c r="F11" s="2"/>
      <c r="G11" s="8" t="s">
        <v>578</v>
      </c>
      <c r="H11" s="10">
        <f>MAX($E$8:$E$10)</f>
        <v>1</v>
      </c>
      <c r="I11" s="11">
        <v>1</v>
      </c>
      <c r="J11" s="9">
        <f t="shared" si="0"/>
        <v>0</v>
      </c>
    </row>
    <row r="12" spans="1:10" ht="32" customHeight="1">
      <c r="A12" s="21">
        <v>120</v>
      </c>
      <c r="B12" s="13">
        <v>0</v>
      </c>
      <c r="C12" s="13">
        <v>10</v>
      </c>
      <c r="D12" s="14" t="s">
        <v>115</v>
      </c>
      <c r="E12" s="15">
        <v>9</v>
      </c>
      <c r="F12" s="2"/>
      <c r="G12" s="8" t="s">
        <v>579</v>
      </c>
      <c r="H12" s="10">
        <f>_xlfn.PERCENTILE.INC($E$8:$E$10,0.9)</f>
        <v>1</v>
      </c>
      <c r="I12" s="11">
        <v>1</v>
      </c>
      <c r="J12" s="9">
        <f t="shared" si="0"/>
        <v>0</v>
      </c>
    </row>
    <row r="13" spans="1:10" ht="32" customHeight="1">
      <c r="A13" s="21">
        <v>150</v>
      </c>
      <c r="B13" s="13">
        <v>0</v>
      </c>
      <c r="C13" s="13">
        <v>10</v>
      </c>
      <c r="D13" s="14" t="s">
        <v>115</v>
      </c>
      <c r="E13" s="15" t="s">
        <v>168</v>
      </c>
      <c r="F13" s="2"/>
      <c r="G13" s="8" t="s">
        <v>580</v>
      </c>
      <c r="H13" s="10">
        <f>AVERAGE($E$11:$E$13)</f>
        <v>6.5</v>
      </c>
      <c r="I13" s="11">
        <v>6.5</v>
      </c>
      <c r="J13" s="9">
        <f t="shared" si="0"/>
        <v>0</v>
      </c>
    </row>
    <row r="14" spans="1:10" ht="32" customHeight="1">
      <c r="A14" s="2"/>
      <c r="B14" s="2"/>
      <c r="C14" s="2"/>
      <c r="D14" s="2"/>
      <c r="E14" s="2"/>
      <c r="F14" s="2"/>
      <c r="G14" s="8" t="s">
        <v>581</v>
      </c>
      <c r="H14" s="10">
        <f>MEDIAN($E$11:$E$13)</f>
        <v>6.5</v>
      </c>
      <c r="I14" s="11">
        <v>6.5</v>
      </c>
      <c r="J14" s="9">
        <f t="shared" si="0"/>
        <v>0</v>
      </c>
    </row>
    <row r="15" spans="1:10" ht="32" customHeight="1">
      <c r="A15" s="2"/>
      <c r="B15" s="2"/>
      <c r="C15" s="2"/>
      <c r="D15" s="2"/>
      <c r="E15" s="2"/>
      <c r="F15" s="2"/>
      <c r="G15" s="8" t="s">
        <v>582</v>
      </c>
      <c r="H15" s="10">
        <f>MIN($E$11:$E$13)</f>
        <v>4</v>
      </c>
      <c r="I15" s="11">
        <v>4</v>
      </c>
      <c r="J15" s="9">
        <f t="shared" si="0"/>
        <v>0</v>
      </c>
    </row>
    <row r="16" spans="1:10" ht="32" customHeight="1">
      <c r="A16" s="2"/>
      <c r="B16" s="2"/>
      <c r="C16" s="2"/>
      <c r="D16" s="2"/>
      <c r="E16" s="2"/>
      <c r="F16" s="2"/>
      <c r="G16" s="8" t="s">
        <v>583</v>
      </c>
      <c r="H16" s="10">
        <f>MAX($E$11:$E$13)</f>
        <v>9</v>
      </c>
      <c r="I16" s="11">
        <v>9</v>
      </c>
      <c r="J16" s="9">
        <f t="shared" si="0"/>
        <v>0</v>
      </c>
    </row>
    <row r="17" spans="1:10" ht="32" customHeight="1">
      <c r="A17" s="2"/>
      <c r="B17" s="2"/>
      <c r="C17" s="2"/>
      <c r="D17" s="2"/>
      <c r="E17" s="2"/>
      <c r="F17" s="2"/>
      <c r="G17" s="8" t="s">
        <v>584</v>
      </c>
      <c r="H17" s="10">
        <f>_xlfn.PERCENTILE.INC($E$11:$E$13,0.9)</f>
        <v>8.5</v>
      </c>
      <c r="I17" s="11">
        <v>8.5</v>
      </c>
      <c r="J17" s="9">
        <f t="shared" si="0"/>
        <v>0</v>
      </c>
    </row>
    <row r="18" spans="1:10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27" customHeight="1">
      <c r="A19" s="2" t="s">
        <v>585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27" customHeight="1">
      <c r="A25" s="4" t="s">
        <v>122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7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586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587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588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589</v>
      </c>
      <c r="C7" s="6" t="s">
        <v>590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3">
        <v>-90</v>
      </c>
      <c r="C8" s="13">
        <v>0</v>
      </c>
      <c r="D8" s="13">
        <v>9</v>
      </c>
      <c r="E8" s="14" t="s">
        <v>115</v>
      </c>
      <c r="F8" s="13">
        <v>1</v>
      </c>
      <c r="G8" s="15">
        <v>-150</v>
      </c>
      <c r="H8" s="2"/>
      <c r="I8" s="8" t="s">
        <v>116</v>
      </c>
      <c r="J8" s="10">
        <f>MOD($B$13,360)</f>
        <v>0</v>
      </c>
      <c r="K8" s="11">
        <v>0</v>
      </c>
      <c r="L8" s="9" t="str">
        <f t="shared" ref="L8:L19" si="0">IF(AND(ISNUMBER(J8),ISNUMBER(K8)),IF(SIGN(J8)=0,"n/a (zero)",ABS(K8-J8)/ABS(J8)),IF(ISBLANK(K8),"missing export",IF(ISBLANK(J8),"missing input","n/a")))</f>
        <v>n/a (zero)</v>
      </c>
    </row>
    <row r="9" spans="1:12" ht="32" customHeight="1">
      <c r="A9" s="12" t="s">
        <v>119</v>
      </c>
      <c r="B9" s="13">
        <v>-90</v>
      </c>
      <c r="C9" s="13">
        <v>90</v>
      </c>
      <c r="D9" s="13">
        <v>9</v>
      </c>
      <c r="E9" s="14" t="s">
        <v>115</v>
      </c>
      <c r="F9" s="13">
        <v>3</v>
      </c>
      <c r="G9" s="15">
        <v>-124</v>
      </c>
      <c r="H9" s="2"/>
      <c r="I9" s="8" t="s">
        <v>222</v>
      </c>
      <c r="J9" s="10">
        <f>90-$C$13</f>
        <v>-90</v>
      </c>
      <c r="K9" s="11">
        <v>-90</v>
      </c>
      <c r="L9" s="9">
        <f t="shared" si="0"/>
        <v>0</v>
      </c>
    </row>
    <row r="10" spans="1:12" ht="32" customHeight="1">
      <c r="A10" s="12" t="s">
        <v>119</v>
      </c>
      <c r="B10" s="13">
        <v>-90</v>
      </c>
      <c r="C10" s="13">
        <v>180</v>
      </c>
      <c r="D10" s="13">
        <v>9</v>
      </c>
      <c r="E10" s="14" t="s">
        <v>115</v>
      </c>
      <c r="F10" s="13">
        <v>5</v>
      </c>
      <c r="G10" s="15">
        <v>-98</v>
      </c>
      <c r="H10" s="2"/>
      <c r="I10" s="8" t="s">
        <v>117</v>
      </c>
      <c r="J10" s="10">
        <f>$F$13</f>
        <v>11</v>
      </c>
      <c r="K10" s="11">
        <v>11</v>
      </c>
      <c r="L10" s="9">
        <f t="shared" si="0"/>
        <v>0</v>
      </c>
    </row>
    <row r="11" spans="1:12" ht="32" customHeight="1">
      <c r="A11" s="12" t="s">
        <v>119</v>
      </c>
      <c r="B11" s="13">
        <v>0</v>
      </c>
      <c r="C11" s="13">
        <v>0</v>
      </c>
      <c r="D11" s="13">
        <v>9</v>
      </c>
      <c r="E11" s="14" t="s">
        <v>115</v>
      </c>
      <c r="F11" s="13">
        <v>7</v>
      </c>
      <c r="G11" s="15">
        <v>-72</v>
      </c>
      <c r="H11" s="2"/>
      <c r="I11" s="8" t="s">
        <v>305</v>
      </c>
      <c r="J11" s="10">
        <f>MOD($B$12,360)</f>
        <v>0</v>
      </c>
      <c r="K11" s="11">
        <v>0</v>
      </c>
      <c r="L11" s="9" t="str">
        <f t="shared" si="0"/>
        <v>n/a (zero)</v>
      </c>
    </row>
    <row r="12" spans="1:12" ht="32" customHeight="1">
      <c r="A12" s="12" t="s">
        <v>119</v>
      </c>
      <c r="B12" s="13">
        <v>0</v>
      </c>
      <c r="C12" s="13">
        <v>90</v>
      </c>
      <c r="D12" s="13">
        <v>9</v>
      </c>
      <c r="E12" s="14" t="s">
        <v>115</v>
      </c>
      <c r="F12" s="13">
        <v>9</v>
      </c>
      <c r="G12" s="15">
        <v>-46</v>
      </c>
      <c r="H12" s="2"/>
      <c r="I12" s="8" t="s">
        <v>564</v>
      </c>
      <c r="J12" s="10">
        <f>90-$C$12</f>
        <v>0</v>
      </c>
      <c r="K12" s="11">
        <v>0</v>
      </c>
      <c r="L12" s="9" t="str">
        <f t="shared" si="0"/>
        <v>n/a (zero)</v>
      </c>
    </row>
    <row r="13" spans="1:12" ht="32" customHeight="1">
      <c r="A13" s="12" t="s">
        <v>119</v>
      </c>
      <c r="B13" s="13">
        <v>0</v>
      </c>
      <c r="C13" s="13">
        <v>180</v>
      </c>
      <c r="D13" s="13">
        <v>9</v>
      </c>
      <c r="E13" s="14" t="s">
        <v>115</v>
      </c>
      <c r="F13" s="13">
        <v>11</v>
      </c>
      <c r="G13" s="15">
        <v>-20</v>
      </c>
      <c r="H13" s="2"/>
      <c r="I13" s="8" t="s">
        <v>294</v>
      </c>
      <c r="J13" s="10">
        <f>$F$12</f>
        <v>9</v>
      </c>
      <c r="K13" s="11">
        <v>9</v>
      </c>
      <c r="L13" s="9">
        <f t="shared" si="0"/>
        <v>0</v>
      </c>
    </row>
    <row r="14" spans="1:12" ht="32" customHeight="1">
      <c r="A14" s="12" t="s">
        <v>119</v>
      </c>
      <c r="B14" s="13">
        <v>90</v>
      </c>
      <c r="C14" s="13">
        <v>0</v>
      </c>
      <c r="D14" s="13">
        <v>9</v>
      </c>
      <c r="E14" s="14" t="s">
        <v>115</v>
      </c>
      <c r="F14" s="13">
        <v>13</v>
      </c>
      <c r="G14" s="15">
        <v>6</v>
      </c>
      <c r="H14" s="2"/>
      <c r="I14" s="8" t="s">
        <v>406</v>
      </c>
      <c r="J14" s="10">
        <f>MOD($B$11,360)</f>
        <v>0</v>
      </c>
      <c r="K14" s="11">
        <v>0</v>
      </c>
      <c r="L14" s="9" t="str">
        <f t="shared" si="0"/>
        <v>n/a (zero)</v>
      </c>
    </row>
    <row r="15" spans="1:12" ht="32" customHeight="1">
      <c r="A15" s="12" t="s">
        <v>119</v>
      </c>
      <c r="B15" s="13">
        <v>90</v>
      </c>
      <c r="C15" s="13">
        <v>90</v>
      </c>
      <c r="D15" s="13">
        <v>9</v>
      </c>
      <c r="E15" s="14" t="s">
        <v>115</v>
      </c>
      <c r="F15" s="13">
        <v>15</v>
      </c>
      <c r="G15" s="15">
        <v>32</v>
      </c>
      <c r="H15" s="2"/>
      <c r="I15" s="8" t="s">
        <v>591</v>
      </c>
      <c r="J15" s="10">
        <f>90-$C$11</f>
        <v>90</v>
      </c>
      <c r="K15" s="11">
        <v>90</v>
      </c>
      <c r="L15" s="9">
        <f t="shared" si="0"/>
        <v>0</v>
      </c>
    </row>
    <row r="16" spans="1:12" ht="32" customHeight="1">
      <c r="A16" s="12" t="s">
        <v>119</v>
      </c>
      <c r="B16" s="13">
        <v>90</v>
      </c>
      <c r="C16" s="13">
        <v>180</v>
      </c>
      <c r="D16" s="13">
        <v>9</v>
      </c>
      <c r="E16" s="14" t="s">
        <v>115</v>
      </c>
      <c r="F16" s="13">
        <v>17</v>
      </c>
      <c r="G16" s="15">
        <v>58</v>
      </c>
      <c r="H16" s="2"/>
      <c r="I16" s="8" t="s">
        <v>296</v>
      </c>
      <c r="J16" s="10">
        <f>$F$11</f>
        <v>7</v>
      </c>
      <c r="K16" s="11">
        <v>6.9999999999999991</v>
      </c>
      <c r="L16" s="9">
        <f t="shared" si="0"/>
        <v>1.2688263138573217E-16</v>
      </c>
    </row>
    <row r="17" spans="1:12" ht="32" customHeight="1">
      <c r="A17" s="2"/>
      <c r="B17" s="2"/>
      <c r="C17" s="2"/>
      <c r="D17" s="2"/>
      <c r="E17" s="2"/>
      <c r="F17" s="2"/>
      <c r="G17" s="2"/>
      <c r="H17" s="2"/>
      <c r="I17" s="8" t="s">
        <v>592</v>
      </c>
      <c r="J17" s="10">
        <f>MOD($B$10,360)</f>
        <v>270</v>
      </c>
      <c r="K17" s="11">
        <v>270</v>
      </c>
      <c r="L17" s="9">
        <f t="shared" si="0"/>
        <v>0</v>
      </c>
    </row>
    <row r="18" spans="1:12" ht="32" customHeight="1">
      <c r="A18" s="2"/>
      <c r="B18" s="2"/>
      <c r="C18" s="2"/>
      <c r="D18" s="2"/>
      <c r="E18" s="2"/>
      <c r="F18" s="2"/>
      <c r="G18" s="2"/>
      <c r="H18" s="2"/>
      <c r="I18" s="8" t="s">
        <v>593</v>
      </c>
      <c r="J18" s="10">
        <f>90-$C$10</f>
        <v>-90</v>
      </c>
      <c r="K18" s="11">
        <v>-90</v>
      </c>
      <c r="L18" s="9">
        <f t="shared" si="0"/>
        <v>0</v>
      </c>
    </row>
    <row r="19" spans="1:12" ht="32" customHeight="1">
      <c r="A19" s="2"/>
      <c r="B19" s="2"/>
      <c r="C19" s="2"/>
      <c r="D19" s="2"/>
      <c r="E19" s="2"/>
      <c r="F19" s="2"/>
      <c r="G19" s="2"/>
      <c r="H19" s="2"/>
      <c r="I19" s="8" t="s">
        <v>594</v>
      </c>
      <c r="J19" s="10">
        <f>$F$10</f>
        <v>5</v>
      </c>
      <c r="K19" s="11">
        <v>5.0000000000000009</v>
      </c>
      <c r="L19" s="9">
        <f t="shared" si="0"/>
        <v>1.7763568394002506E-16</v>
      </c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 t="s">
        <v>595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5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  <col min="13" max="13" width="14" customWidth="1"/>
  </cols>
  <sheetData>
    <row r="1" spans="1:13" ht="35" customHeight="1">
      <c r="A1" s="3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596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124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  <c r="M6" s="5"/>
    </row>
    <row r="7" spans="1:13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  <c r="M7" s="6" t="s">
        <v>410</v>
      </c>
    </row>
    <row r="8" spans="1:13" ht="32" customHeight="1">
      <c r="A8" s="12" t="s">
        <v>119</v>
      </c>
      <c r="B8" s="13">
        <v>0</v>
      </c>
      <c r="C8" s="13">
        <v>-5</v>
      </c>
      <c r="D8" s="13">
        <v>10</v>
      </c>
      <c r="E8" s="14" t="s">
        <v>115</v>
      </c>
      <c r="F8" s="13">
        <v>1</v>
      </c>
      <c r="G8" s="15">
        <v>170</v>
      </c>
      <c r="H8" s="2"/>
      <c r="I8" s="8" t="s">
        <v>116</v>
      </c>
      <c r="J8" s="10">
        <f>$B$8+$F$15</f>
        <v>15</v>
      </c>
      <c r="K8" s="11">
        <v>15</v>
      </c>
      <c r="L8" s="9">
        <f>IF(AND(ISNUMBER(J8),ISNUMBER(K8)),IF(SIGN(J8)=0,"n/a (zero)",ABS(K8-J8)/ABS(J8)),IF(ISBLANK(K8),"missing export",IF(ISBLANK(J8),"missing input","n/a")))</f>
        <v>0</v>
      </c>
      <c r="M8" s="2"/>
    </row>
    <row r="9" spans="1:13" ht="32" customHeight="1">
      <c r="A9" s="12" t="s">
        <v>119</v>
      </c>
      <c r="B9" s="13">
        <v>0</v>
      </c>
      <c r="C9" s="13">
        <v>5</v>
      </c>
      <c r="D9" s="13">
        <v>10</v>
      </c>
      <c r="E9" s="14" t="s">
        <v>115</v>
      </c>
      <c r="F9" s="13">
        <v>0</v>
      </c>
      <c r="G9" s="15">
        <v>0</v>
      </c>
      <c r="H9" s="2"/>
      <c r="I9" s="8" t="s">
        <v>222</v>
      </c>
      <c r="J9" s="10">
        <f>$C$8+$F$16</f>
        <v>-12</v>
      </c>
      <c r="K9" s="11">
        <v>-12</v>
      </c>
      <c r="L9" s="9">
        <f>IF(AND(ISNUMBER(J9),ISNUMBER(K9)),IF(SIGN(J9)=0,"n/a (zero)",ABS(K9-J9)/ABS(J9)),IF(ISBLANK(K9),"missing export",IF(ISBLANK(J9),"missing input","n/a")))</f>
        <v>0</v>
      </c>
      <c r="M9" s="2"/>
    </row>
    <row r="10" spans="1:13" ht="32" customHeight="1">
      <c r="A10" s="12" t="s">
        <v>119</v>
      </c>
      <c r="B10" s="13">
        <v>90</v>
      </c>
      <c r="C10" s="13">
        <v>-5</v>
      </c>
      <c r="D10" s="13">
        <v>10</v>
      </c>
      <c r="E10" s="14" t="s">
        <v>115</v>
      </c>
      <c r="F10" s="13">
        <v>3</v>
      </c>
      <c r="G10" s="15">
        <v>-175</v>
      </c>
      <c r="H10" s="2"/>
      <c r="I10" s="8" t="s">
        <v>117</v>
      </c>
      <c r="J10" s="10">
        <f>$F$8</f>
        <v>1</v>
      </c>
      <c r="K10" s="11">
        <v>0.99999999999999978</v>
      </c>
      <c r="L10" s="9">
        <f>IF(AND(ISNUMBER(J10),ISNUMBER(K10)),IF(SIGN(J10)=0,"n/a (zero)",ABS(K10-J10)/ABS(J10)),IF(ISBLANK(K10),"missing export",IF(ISBLANK(J10),"missing input","n/a")))</f>
        <v>2.2204460492503131E-16</v>
      </c>
      <c r="M10" s="2"/>
    </row>
    <row r="11" spans="1:13" ht="32" customHeight="1">
      <c r="A11" s="12" t="s">
        <v>119</v>
      </c>
      <c r="B11" s="13">
        <v>90</v>
      </c>
      <c r="C11" s="13">
        <v>5</v>
      </c>
      <c r="D11" s="13">
        <v>10</v>
      </c>
      <c r="E11" s="14" t="s">
        <v>115</v>
      </c>
      <c r="F11" s="13" t="s">
        <v>168</v>
      </c>
      <c r="G11" s="15" t="s">
        <v>168</v>
      </c>
      <c r="H11" s="2"/>
      <c r="I11" s="8" t="s">
        <v>597</v>
      </c>
      <c r="J11" s="10">
        <f>IF(OR($F$8="missing",$G$8="missing"),"missing",MOD($G$8+$F$17+180,360)-180)</f>
        <v>-160</v>
      </c>
      <c r="K11" s="11">
        <v>-160</v>
      </c>
      <c r="L11" s="9" t="str">
        <f>IF(AND(ISNUMBER(J11),ISNUMBER(K11)),"n/a (angle)",IF(ISBLANK(K11),"missing export",IF(ISBLANK(J11),"missing input","n/a")))</f>
        <v>n/a (angle)</v>
      </c>
      <c r="M11" s="23">
        <f>IF(AND(ISNUMBER(J11),ISNUMBER(K11)),ABS(MOD((K11-J11)+180,360)-180),"n/a")</f>
        <v>0</v>
      </c>
    </row>
    <row r="12" spans="1:13" ht="32" customHeight="1">
      <c r="A12" s="2"/>
      <c r="B12" s="2"/>
      <c r="C12" s="2"/>
      <c r="D12" s="2"/>
      <c r="E12" s="2"/>
      <c r="F12" s="2"/>
      <c r="G12" s="2"/>
      <c r="H12" s="2"/>
      <c r="I12" s="8" t="s">
        <v>305</v>
      </c>
      <c r="J12" s="10">
        <f>$B$10+$F$15</f>
        <v>105</v>
      </c>
      <c r="K12" s="11">
        <v>105</v>
      </c>
      <c r="L12" s="9">
        <f>IF(AND(ISNUMBER(J12),ISNUMBER(K12)),IF(SIGN(J12)=0,"n/a (zero)",ABS(K12-J12)/ABS(J12)),IF(ISBLANK(K12),"missing export",IF(ISBLANK(J12),"missing input","n/a")))</f>
        <v>0</v>
      </c>
      <c r="M12" s="2"/>
    </row>
    <row r="13" spans="1:13" ht="32" customHeight="1">
      <c r="A13" s="2"/>
      <c r="B13" s="2"/>
      <c r="C13" s="2"/>
      <c r="D13" s="2"/>
      <c r="E13" s="2"/>
      <c r="F13" s="2"/>
      <c r="G13" s="2"/>
      <c r="H13" s="2"/>
      <c r="I13" s="8" t="s">
        <v>564</v>
      </c>
      <c r="J13" s="10">
        <f>$C$10+$F$16</f>
        <v>-12</v>
      </c>
      <c r="K13" s="11">
        <v>-12</v>
      </c>
      <c r="L13" s="9">
        <f>IF(AND(ISNUMBER(J13),ISNUMBER(K13)),IF(SIGN(J13)=0,"n/a (zero)",ABS(K13-J13)/ABS(J13)),IF(ISBLANK(K13),"missing export",IF(ISBLANK(J13),"missing input","n/a")))</f>
        <v>0</v>
      </c>
      <c r="M13" s="2"/>
    </row>
    <row r="14" spans="1:13" ht="32" customHeight="1">
      <c r="A14" s="5" t="s">
        <v>156</v>
      </c>
      <c r="B14" s="2"/>
      <c r="C14" s="2"/>
      <c r="D14" s="2"/>
      <c r="E14" s="2"/>
      <c r="F14" s="2"/>
      <c r="G14" s="2"/>
      <c r="H14" s="2"/>
      <c r="I14" s="8" t="s">
        <v>294</v>
      </c>
      <c r="J14" s="10">
        <f>$F$10</f>
        <v>3</v>
      </c>
      <c r="K14" s="11">
        <v>3</v>
      </c>
      <c r="L14" s="9">
        <f>IF(AND(ISNUMBER(J14),ISNUMBER(K14)),IF(SIGN(J14)=0,"n/a (zero)",ABS(K14-J14)/ABS(J14)),IF(ISBLANK(K14),"missing export",IF(ISBLANK(J14),"missing input","n/a")))</f>
        <v>0</v>
      </c>
      <c r="M14" s="2"/>
    </row>
    <row r="15" spans="1:13" ht="32" customHeight="1">
      <c r="A15" s="2" t="s">
        <v>598</v>
      </c>
      <c r="B15" s="2"/>
      <c r="C15" s="2"/>
      <c r="D15" s="2"/>
      <c r="E15" s="2"/>
      <c r="F15" s="7">
        <v>15</v>
      </c>
      <c r="G15" s="2"/>
      <c r="H15" s="2"/>
      <c r="I15" s="8" t="s">
        <v>599</v>
      </c>
      <c r="J15" s="10">
        <f>IF(OR($F$10="missing",$G$10="missing"),"missing",MOD($G$10+$F$17+180,360)-180)</f>
        <v>-145</v>
      </c>
      <c r="K15" s="11">
        <v>-145</v>
      </c>
      <c r="L15" s="9" t="str">
        <f>IF(AND(ISNUMBER(J15),ISNUMBER(K15)),"n/a (angle)",IF(ISBLANK(K15),"missing export",IF(ISBLANK(J15),"missing input","n/a")))</f>
        <v>n/a (angle)</v>
      </c>
      <c r="M15" s="23">
        <f>IF(AND(ISNUMBER(J15),ISNUMBER(K15)),ABS(MOD((K15-J15)+180,360)-180),"n/a")</f>
        <v>0</v>
      </c>
    </row>
    <row r="16" spans="1:13" ht="27" customHeight="1">
      <c r="A16" s="2" t="s">
        <v>600</v>
      </c>
      <c r="B16" s="2"/>
      <c r="C16" s="2"/>
      <c r="D16" s="2"/>
      <c r="E16" s="2"/>
      <c r="F16" s="7">
        <v>-7</v>
      </c>
      <c r="G16" s="2"/>
      <c r="H16" s="2"/>
      <c r="I16" s="2"/>
      <c r="J16" s="2"/>
      <c r="K16" s="2"/>
      <c r="L16" s="2"/>
      <c r="M16" s="2"/>
    </row>
    <row r="17" spans="1:13" ht="27" customHeight="1">
      <c r="A17" s="2" t="s">
        <v>601</v>
      </c>
      <c r="B17" s="2"/>
      <c r="C17" s="2"/>
      <c r="D17" s="2"/>
      <c r="E17" s="2"/>
      <c r="F17" s="7">
        <v>30</v>
      </c>
      <c r="G17" s="2"/>
      <c r="H17" s="2"/>
      <c r="I17" s="2"/>
      <c r="J17" s="2"/>
      <c r="K17" s="2"/>
      <c r="L17" s="2"/>
      <c r="M17" s="2"/>
    </row>
    <row r="18" spans="1:13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27" customHeight="1">
      <c r="A20" s="2" t="s">
        <v>602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7" customHeight="1">
      <c r="A23" s="4" t="s">
        <v>122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27" customHeight="1">
      <c r="A25" s="4" t="s">
        <v>422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3"/>
  <sheetViews>
    <sheetView showGridLines="0" tabSelected="1" topLeftCell="I1" workbookViewId="0">
      <pane ySplit="7" topLeftCell="A8" activePane="bottomLeft" state="frozen"/>
      <selection pane="bottomLeft" activeCell="I8" sqref="I8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603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179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163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12" t="s">
        <v>136</v>
      </c>
      <c r="B8" s="13">
        <v>-10</v>
      </c>
      <c r="C8" s="13">
        <v>-5</v>
      </c>
      <c r="D8" s="13">
        <v>8</v>
      </c>
      <c r="E8" s="14" t="s">
        <v>115</v>
      </c>
      <c r="F8" s="15">
        <v>0</v>
      </c>
      <c r="G8" s="2"/>
      <c r="H8" s="8" t="s">
        <v>604</v>
      </c>
      <c r="I8" s="10">
        <f>AVERAGE($F$8:$F$12)</f>
        <v>24.2</v>
      </c>
      <c r="J8" s="11">
        <v>24.2</v>
      </c>
      <c r="K8" s="9">
        <f t="shared" ref="K8:K13" si="0">IF(AND(ISNUMBER(I8),ISNUMBER(J8)),IF(SIGN(I8)=0,"n/a (zero)",ABS(J8-I8)/ABS(I8)),IF(ISBLANK(J8),"missing export",IF(ISBLANK(I8),"missing input","n/a")))</f>
        <v>0</v>
      </c>
    </row>
    <row r="9" spans="1:11" ht="32" customHeight="1">
      <c r="A9" s="12" t="s">
        <v>136</v>
      </c>
      <c r="B9" s="13">
        <v>0</v>
      </c>
      <c r="C9" s="13">
        <v>-5</v>
      </c>
      <c r="D9" s="13">
        <v>8</v>
      </c>
      <c r="E9" s="14" t="s">
        <v>115</v>
      </c>
      <c r="F9" s="15">
        <v>1</v>
      </c>
      <c r="G9" s="2"/>
      <c r="H9" s="8" t="s">
        <v>605</v>
      </c>
      <c r="I9" s="10">
        <f>MEDIAN($F$8:$F$12)</f>
        <v>4</v>
      </c>
      <c r="J9" s="11">
        <v>4</v>
      </c>
      <c r="K9" s="9">
        <f t="shared" si="0"/>
        <v>0</v>
      </c>
    </row>
    <row r="10" spans="1:11" ht="32" customHeight="1">
      <c r="A10" s="12" t="s">
        <v>136</v>
      </c>
      <c r="B10" s="13">
        <v>10</v>
      </c>
      <c r="C10" s="13">
        <v>-5</v>
      </c>
      <c r="D10" s="13">
        <v>8</v>
      </c>
      <c r="E10" s="14" t="s">
        <v>115</v>
      </c>
      <c r="F10" s="15">
        <v>4</v>
      </c>
      <c r="G10" s="2"/>
      <c r="H10" s="8" t="s">
        <v>606</v>
      </c>
      <c r="I10" s="10">
        <f>MIN($F$8:$F$12)</f>
        <v>0</v>
      </c>
      <c r="J10" s="11">
        <v>0</v>
      </c>
      <c r="K10" s="9" t="str">
        <f t="shared" si="0"/>
        <v>n/a (zero)</v>
      </c>
    </row>
    <row r="11" spans="1:11" ht="32" customHeight="1">
      <c r="A11" s="12" t="s">
        <v>136</v>
      </c>
      <c r="B11" s="13">
        <v>20</v>
      </c>
      <c r="C11" s="13">
        <v>-5</v>
      </c>
      <c r="D11" s="13">
        <v>8</v>
      </c>
      <c r="E11" s="14" t="s">
        <v>115</v>
      </c>
      <c r="F11" s="15">
        <v>16</v>
      </c>
      <c r="G11" s="2"/>
      <c r="H11" s="8" t="s">
        <v>607</v>
      </c>
      <c r="I11" s="10">
        <f>MAX($F$8:$F$12)</f>
        <v>100</v>
      </c>
      <c r="J11" s="11">
        <v>100</v>
      </c>
      <c r="K11" s="9">
        <f t="shared" si="0"/>
        <v>0</v>
      </c>
    </row>
    <row r="12" spans="1:11" ht="32" customHeight="1">
      <c r="A12" s="12" t="s">
        <v>136</v>
      </c>
      <c r="B12" s="13">
        <v>30</v>
      </c>
      <c r="C12" s="13">
        <v>-5</v>
      </c>
      <c r="D12" s="13">
        <v>8</v>
      </c>
      <c r="E12" s="14" t="s">
        <v>115</v>
      </c>
      <c r="F12" s="15">
        <v>100</v>
      </c>
      <c r="G12" s="2"/>
      <c r="H12" s="8" t="s">
        <v>608</v>
      </c>
      <c r="I12" s="10">
        <f>_xlfn.STDEV.P($F$8:$F$12)</f>
        <v>38.327013971871068</v>
      </c>
      <c r="J12" s="11">
        <v>38.327013971871068</v>
      </c>
      <c r="K12" s="9">
        <f t="shared" si="0"/>
        <v>0</v>
      </c>
    </row>
    <row r="13" spans="1:11" ht="32" customHeight="1">
      <c r="A13" s="2"/>
      <c r="B13" s="2"/>
      <c r="C13" s="2"/>
      <c r="D13" s="2"/>
      <c r="E13" s="2"/>
      <c r="F13" s="2"/>
      <c r="G13" s="2"/>
      <c r="H13" s="8" t="s">
        <v>609</v>
      </c>
      <c r="I13" s="10">
        <f>_xlfn.PERCENTILE.INC($F$8:$F$12,$E$16/100)</f>
        <v>66.399999999999977</v>
      </c>
      <c r="J13" s="11">
        <v>66.400000000000006</v>
      </c>
      <c r="K13" s="9">
        <f t="shared" si="0"/>
        <v>4.2803779262656652E-16</v>
      </c>
    </row>
    <row r="14" spans="1:11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7" customHeight="1">
      <c r="A15" s="5" t="s">
        <v>156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7" customHeight="1">
      <c r="A16" s="2" t="s">
        <v>317</v>
      </c>
      <c r="B16" s="2"/>
      <c r="C16" s="2"/>
      <c r="D16" s="2"/>
      <c r="E16" s="7">
        <v>90</v>
      </c>
      <c r="F16" s="2"/>
      <c r="G16" s="2"/>
      <c r="H16" s="2"/>
      <c r="I16" s="2"/>
      <c r="J16" s="2"/>
      <c r="K16" s="2"/>
    </row>
    <row r="17" spans="1:11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7" customHeight="1">
      <c r="A19" s="2" t="s">
        <v>610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7" customHeight="1">
      <c r="A21" s="4" t="s">
        <v>122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611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249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103</v>
      </c>
      <c r="B7" s="6" t="s">
        <v>104</v>
      </c>
      <c r="C7" s="6" t="s">
        <v>612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119</v>
      </c>
      <c r="B8" s="13">
        <v>0</v>
      </c>
      <c r="C8" s="16">
        <v>-0.2</v>
      </c>
      <c r="D8" s="13">
        <v>9</v>
      </c>
      <c r="E8" s="14" t="s">
        <v>115</v>
      </c>
      <c r="F8" s="13">
        <v>1</v>
      </c>
      <c r="G8" s="15">
        <v>-150</v>
      </c>
      <c r="H8" s="2"/>
      <c r="I8" s="8" t="s">
        <v>613</v>
      </c>
      <c r="J8" s="10">
        <f>$C$8</f>
        <v>-0.2</v>
      </c>
      <c r="K8" s="11">
        <v>-0.2</v>
      </c>
      <c r="L8" s="9">
        <f t="shared" ref="L8:L16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119</v>
      </c>
      <c r="B9" s="13">
        <v>0</v>
      </c>
      <c r="C9" s="16">
        <v>-0.2</v>
      </c>
      <c r="D9" s="13">
        <v>10</v>
      </c>
      <c r="E9" s="14" t="s">
        <v>115</v>
      </c>
      <c r="F9" s="13">
        <v>2</v>
      </c>
      <c r="G9" s="15">
        <v>-137</v>
      </c>
      <c r="H9" s="2"/>
      <c r="I9" s="8" t="s">
        <v>222</v>
      </c>
      <c r="J9" s="10">
        <f>$B$8</f>
        <v>0</v>
      </c>
      <c r="K9" s="11">
        <v>0</v>
      </c>
      <c r="L9" s="9" t="str">
        <f t="shared" si="0"/>
        <v>n/a (zero)</v>
      </c>
    </row>
    <row r="10" spans="1:12" ht="32" customHeight="1">
      <c r="A10" s="12" t="s">
        <v>119</v>
      </c>
      <c r="B10" s="13">
        <v>0</v>
      </c>
      <c r="C10" s="13">
        <v>0</v>
      </c>
      <c r="D10" s="13">
        <v>9</v>
      </c>
      <c r="E10" s="14" t="s">
        <v>115</v>
      </c>
      <c r="F10" s="13">
        <v>3</v>
      </c>
      <c r="G10" s="15">
        <v>-124</v>
      </c>
      <c r="H10" s="2"/>
      <c r="I10" s="8" t="s">
        <v>117</v>
      </c>
      <c r="J10" s="10">
        <f>$F$8</f>
        <v>1</v>
      </c>
      <c r="K10" s="11">
        <v>1</v>
      </c>
      <c r="L10" s="9">
        <f t="shared" si="0"/>
        <v>0</v>
      </c>
    </row>
    <row r="11" spans="1:12" ht="32" customHeight="1">
      <c r="A11" s="12" t="s">
        <v>119</v>
      </c>
      <c r="B11" s="13">
        <v>0</v>
      </c>
      <c r="C11" s="13">
        <v>0</v>
      </c>
      <c r="D11" s="13">
        <v>10</v>
      </c>
      <c r="E11" s="14" t="s">
        <v>115</v>
      </c>
      <c r="F11" s="13">
        <v>4</v>
      </c>
      <c r="G11" s="15">
        <v>-111</v>
      </c>
      <c r="H11" s="2"/>
      <c r="I11" s="8" t="s">
        <v>614</v>
      </c>
      <c r="J11" s="10">
        <f>$C$14</f>
        <v>-0.2</v>
      </c>
      <c r="K11" s="11">
        <v>-0.2</v>
      </c>
      <c r="L11" s="9">
        <f t="shared" si="0"/>
        <v>0</v>
      </c>
    </row>
    <row r="12" spans="1:12" ht="32" customHeight="1">
      <c r="A12" s="12" t="s">
        <v>119</v>
      </c>
      <c r="B12" s="13">
        <v>0</v>
      </c>
      <c r="C12" s="16">
        <v>0.2</v>
      </c>
      <c r="D12" s="13">
        <v>9</v>
      </c>
      <c r="E12" s="14" t="s">
        <v>115</v>
      </c>
      <c r="F12" s="13">
        <v>5</v>
      </c>
      <c r="G12" s="15">
        <v>-98</v>
      </c>
      <c r="H12" s="2"/>
      <c r="I12" s="8" t="s">
        <v>564</v>
      </c>
      <c r="J12" s="10">
        <f>$B$14</f>
        <v>90</v>
      </c>
      <c r="K12" s="11">
        <v>90</v>
      </c>
      <c r="L12" s="9">
        <f t="shared" si="0"/>
        <v>0</v>
      </c>
    </row>
    <row r="13" spans="1:12" ht="32" customHeight="1">
      <c r="A13" s="12" t="s">
        <v>119</v>
      </c>
      <c r="B13" s="13">
        <v>0</v>
      </c>
      <c r="C13" s="16">
        <v>0.2</v>
      </c>
      <c r="D13" s="13">
        <v>10</v>
      </c>
      <c r="E13" s="14" t="s">
        <v>115</v>
      </c>
      <c r="F13" s="13">
        <v>6</v>
      </c>
      <c r="G13" s="15">
        <v>-85</v>
      </c>
      <c r="H13" s="2"/>
      <c r="I13" s="8" t="s">
        <v>294</v>
      </c>
      <c r="J13" s="10">
        <f>$F$14</f>
        <v>7</v>
      </c>
      <c r="K13" s="11">
        <v>6.9999999999999991</v>
      </c>
      <c r="L13" s="9">
        <f t="shared" si="0"/>
        <v>1.2688263138573217E-16</v>
      </c>
    </row>
    <row r="14" spans="1:12" ht="32" customHeight="1">
      <c r="A14" s="12" t="s">
        <v>119</v>
      </c>
      <c r="B14" s="13">
        <v>90</v>
      </c>
      <c r="C14" s="16">
        <v>-0.2</v>
      </c>
      <c r="D14" s="13">
        <v>9</v>
      </c>
      <c r="E14" s="14" t="s">
        <v>115</v>
      </c>
      <c r="F14" s="13">
        <v>7</v>
      </c>
      <c r="G14" s="15">
        <v>-72</v>
      </c>
      <c r="H14" s="2"/>
      <c r="I14" s="8" t="s">
        <v>615</v>
      </c>
      <c r="J14" s="10">
        <f>$C$18</f>
        <v>0.2</v>
      </c>
      <c r="K14" s="11">
        <v>0.2</v>
      </c>
      <c r="L14" s="9">
        <f t="shared" si="0"/>
        <v>0</v>
      </c>
    </row>
    <row r="15" spans="1:12" ht="32" customHeight="1">
      <c r="A15" s="12" t="s">
        <v>119</v>
      </c>
      <c r="B15" s="13">
        <v>90</v>
      </c>
      <c r="C15" s="16">
        <v>-0.2</v>
      </c>
      <c r="D15" s="13">
        <v>10</v>
      </c>
      <c r="E15" s="14" t="s">
        <v>115</v>
      </c>
      <c r="F15" s="13">
        <v>8</v>
      </c>
      <c r="G15" s="15">
        <v>-59</v>
      </c>
      <c r="H15" s="2"/>
      <c r="I15" s="8" t="s">
        <v>616</v>
      </c>
      <c r="J15" s="10">
        <f>$B$18</f>
        <v>90</v>
      </c>
      <c r="K15" s="11">
        <v>90</v>
      </c>
      <c r="L15" s="9">
        <f t="shared" si="0"/>
        <v>0</v>
      </c>
    </row>
    <row r="16" spans="1:12" ht="32" customHeight="1">
      <c r="A16" s="12" t="s">
        <v>119</v>
      </c>
      <c r="B16" s="13">
        <v>90</v>
      </c>
      <c r="C16" s="13">
        <v>0</v>
      </c>
      <c r="D16" s="13">
        <v>9</v>
      </c>
      <c r="E16" s="14" t="s">
        <v>115</v>
      </c>
      <c r="F16" s="13">
        <v>9</v>
      </c>
      <c r="G16" s="15">
        <v>-46</v>
      </c>
      <c r="H16" s="2"/>
      <c r="I16" s="8" t="s">
        <v>617</v>
      </c>
      <c r="J16" s="10">
        <f>$F$18</f>
        <v>11</v>
      </c>
      <c r="K16" s="11">
        <v>11</v>
      </c>
      <c r="L16" s="9">
        <f t="shared" si="0"/>
        <v>0</v>
      </c>
    </row>
    <row r="17" spans="1:12" ht="27" customHeight="1">
      <c r="A17" s="12" t="s">
        <v>119</v>
      </c>
      <c r="B17" s="13">
        <v>90</v>
      </c>
      <c r="C17" s="13">
        <v>0</v>
      </c>
      <c r="D17" s="13">
        <v>10</v>
      </c>
      <c r="E17" s="14" t="s">
        <v>115</v>
      </c>
      <c r="F17" s="13">
        <v>10</v>
      </c>
      <c r="G17" s="15">
        <v>-33</v>
      </c>
      <c r="H17" s="2"/>
      <c r="I17" s="2"/>
      <c r="J17" s="2"/>
      <c r="K17" s="2"/>
      <c r="L17" s="2"/>
    </row>
    <row r="18" spans="1:12" ht="27" customHeight="1">
      <c r="A18" s="12" t="s">
        <v>119</v>
      </c>
      <c r="B18" s="13">
        <v>90</v>
      </c>
      <c r="C18" s="16">
        <v>0.2</v>
      </c>
      <c r="D18" s="13">
        <v>9</v>
      </c>
      <c r="E18" s="14" t="s">
        <v>115</v>
      </c>
      <c r="F18" s="13">
        <v>11</v>
      </c>
      <c r="G18" s="15">
        <v>-20</v>
      </c>
      <c r="H18" s="2"/>
      <c r="I18" s="2"/>
      <c r="J18" s="2"/>
      <c r="K18" s="2"/>
      <c r="L18" s="2"/>
    </row>
    <row r="19" spans="1:12" ht="27" customHeight="1">
      <c r="A19" s="12" t="s">
        <v>119</v>
      </c>
      <c r="B19" s="13">
        <v>90</v>
      </c>
      <c r="C19" s="16">
        <v>0.2</v>
      </c>
      <c r="D19" s="13">
        <v>10</v>
      </c>
      <c r="E19" s="14" t="s">
        <v>115</v>
      </c>
      <c r="F19" s="13">
        <v>12</v>
      </c>
      <c r="G19" s="15">
        <v>-7</v>
      </c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2" t="s">
        <v>618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30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</cols>
  <sheetData>
    <row r="1" spans="1:12" ht="35" customHeight="1">
      <c r="A1" s="3" t="s">
        <v>619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 t="s">
        <v>620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7" customHeight="1">
      <c r="A5" s="4" t="s">
        <v>124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</row>
    <row r="7" spans="1:12" ht="42" customHeight="1">
      <c r="A7" s="6" t="s">
        <v>136</v>
      </c>
      <c r="B7" s="6" t="s">
        <v>104</v>
      </c>
      <c r="C7" s="6" t="s">
        <v>105</v>
      </c>
      <c r="D7" s="6" t="s">
        <v>137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</row>
    <row r="8" spans="1:12" ht="32" customHeight="1">
      <c r="A8" s="12" t="s">
        <v>621</v>
      </c>
      <c r="B8" s="13">
        <v>0</v>
      </c>
      <c r="C8" s="13">
        <v>0</v>
      </c>
      <c r="D8" s="19">
        <v>1000000000</v>
      </c>
      <c r="E8" s="14" t="s">
        <v>115</v>
      </c>
      <c r="F8" s="13">
        <v>1</v>
      </c>
      <c r="G8" s="20">
        <v>-12.008307427133474</v>
      </c>
      <c r="H8" s="2"/>
      <c r="I8" s="8" t="s">
        <v>622</v>
      </c>
      <c r="J8" s="10">
        <f>SQRT($F$8)*COS($J$20)</f>
        <v>0.97811744492958008</v>
      </c>
      <c r="K8" s="11">
        <v>0.97811744492958008</v>
      </c>
      <c r="L8" s="9">
        <f t="shared" ref="L8:L15" si="0">IF(AND(ISNUMBER(J8),ISNUMBER(K8)),IF(SIGN(J8)=0,"n/a (zero)",ABS(K8-J8)/ABS(J8)),IF(ISBLANK(K8),"missing export",IF(ISBLANK(J8),"missing input","n/a")))</f>
        <v>0</v>
      </c>
    </row>
    <row r="9" spans="1:12" ht="32" customHeight="1">
      <c r="A9" s="12" t="s">
        <v>621</v>
      </c>
      <c r="B9" s="13">
        <v>0</v>
      </c>
      <c r="C9" s="13">
        <v>0</v>
      </c>
      <c r="D9" s="19">
        <v>2000000000</v>
      </c>
      <c r="E9" s="14" t="s">
        <v>115</v>
      </c>
      <c r="F9" s="13">
        <v>1</v>
      </c>
      <c r="G9" s="20">
        <v>-24.016614854266948</v>
      </c>
      <c r="H9" s="2"/>
      <c r="I9" s="8" t="s">
        <v>623</v>
      </c>
      <c r="J9" s="10">
        <f>SQRT($F$8)*SIN($J$20)</f>
        <v>-0.20805351216557236</v>
      </c>
      <c r="K9" s="11">
        <v>-0.2080535121655723</v>
      </c>
      <c r="L9" s="9">
        <f t="shared" si="0"/>
        <v>2.6681189206304363E-16</v>
      </c>
    </row>
    <row r="10" spans="1:12" ht="32" customHeight="1">
      <c r="A10" s="12" t="s">
        <v>621</v>
      </c>
      <c r="B10" s="13">
        <v>0</v>
      </c>
      <c r="C10" s="13">
        <v>0</v>
      </c>
      <c r="D10" s="19">
        <v>3000000000</v>
      </c>
      <c r="E10" s="14" t="s">
        <v>115</v>
      </c>
      <c r="F10" s="13">
        <v>1</v>
      </c>
      <c r="G10" s="20">
        <v>-36.024922281400421</v>
      </c>
      <c r="H10" s="2"/>
      <c r="I10" s="8" t="s">
        <v>624</v>
      </c>
      <c r="J10" s="10">
        <f>SQRT($F$9)*COS($J$21)</f>
        <v>0.91342747215114006</v>
      </c>
      <c r="K10" s="11">
        <v>0.91342747215114006</v>
      </c>
      <c r="L10" s="9">
        <f t="shared" si="0"/>
        <v>0</v>
      </c>
    </row>
    <row r="11" spans="1:12" ht="32" customHeight="1">
      <c r="A11" s="12" t="s">
        <v>621</v>
      </c>
      <c r="B11" s="13">
        <v>0</v>
      </c>
      <c r="C11" s="13">
        <v>0</v>
      </c>
      <c r="D11" s="19">
        <v>4000000000</v>
      </c>
      <c r="E11" s="14" t="s">
        <v>115</v>
      </c>
      <c r="F11" s="13">
        <v>1</v>
      </c>
      <c r="G11" s="20">
        <v>-48.033229708533895</v>
      </c>
      <c r="H11" s="2"/>
      <c r="I11" s="8" t="s">
        <v>625</v>
      </c>
      <c r="J11" s="10">
        <f>SQRT($F$9)*SIN($J$21)</f>
        <v>-0.40700153945602985</v>
      </c>
      <c r="K11" s="11">
        <v>-0.40700153945602968</v>
      </c>
      <c r="L11" s="9">
        <f t="shared" si="0"/>
        <v>4.0917155722887582E-16</v>
      </c>
    </row>
    <row r="12" spans="1:12" ht="32" customHeight="1">
      <c r="A12" s="2"/>
      <c r="B12" s="2"/>
      <c r="C12" s="2"/>
      <c r="D12" s="2"/>
      <c r="E12" s="2"/>
      <c r="F12" s="2"/>
      <c r="G12" s="2"/>
      <c r="H12" s="2"/>
      <c r="I12" s="8" t="s">
        <v>626</v>
      </c>
      <c r="J12" s="10">
        <f>SQRT($F$10)*COS($J$22)</f>
        <v>0.8087612454483365</v>
      </c>
      <c r="K12" s="11">
        <v>0.8087612454483365</v>
      </c>
      <c r="L12" s="9">
        <f t="shared" si="0"/>
        <v>0</v>
      </c>
    </row>
    <row r="13" spans="1:12" ht="32" customHeight="1">
      <c r="A13" s="2"/>
      <c r="B13" s="2"/>
      <c r="C13" s="2"/>
      <c r="D13" s="2"/>
      <c r="E13" s="2"/>
      <c r="F13" s="2"/>
      <c r="G13" s="2"/>
      <c r="H13" s="2"/>
      <c r="I13" s="8" t="s">
        <v>627</v>
      </c>
      <c r="J13" s="10">
        <f>SQRT($F$10)*SIN($J$22)</f>
        <v>-0.58813709954470272</v>
      </c>
      <c r="K13" s="11">
        <v>-0.58813709954470272</v>
      </c>
      <c r="L13" s="9">
        <f t="shared" si="0"/>
        <v>0</v>
      </c>
    </row>
    <row r="14" spans="1:12" ht="32" customHeight="1">
      <c r="A14" s="5" t="s">
        <v>156</v>
      </c>
      <c r="B14" s="2"/>
      <c r="C14" s="2"/>
      <c r="D14" s="2"/>
      <c r="E14" s="2"/>
      <c r="F14" s="2"/>
      <c r="G14" s="2"/>
      <c r="H14" s="2"/>
      <c r="I14" s="8" t="s">
        <v>628</v>
      </c>
      <c r="J14" s="10">
        <f>SQRT($F$11)*COS($J$23)</f>
        <v>0.66869949376084359</v>
      </c>
      <c r="K14" s="11">
        <v>0.6686994937608437</v>
      </c>
      <c r="L14" s="9">
        <f t="shared" si="0"/>
        <v>1.6602719681768163E-16</v>
      </c>
    </row>
    <row r="15" spans="1:12" ht="32" customHeight="1">
      <c r="A15" s="2" t="s">
        <v>157</v>
      </c>
      <c r="B15" s="2"/>
      <c r="C15" s="2"/>
      <c r="D15" s="2"/>
      <c r="E15" s="2"/>
      <c r="F15" s="7">
        <v>299792458</v>
      </c>
      <c r="G15" s="2"/>
      <c r="H15" s="2"/>
      <c r="I15" s="8" t="s">
        <v>629</v>
      </c>
      <c r="J15" s="10">
        <f>SQRT($F$11)*SIN($J$23)</f>
        <v>-0.74353277469388768</v>
      </c>
      <c r="K15" s="11">
        <v>-0.74353277469388757</v>
      </c>
      <c r="L15" s="9">
        <f t="shared" si="0"/>
        <v>1.4931729473286973E-16</v>
      </c>
    </row>
    <row r="16" spans="1:12" ht="27" customHeight="1">
      <c r="A16" s="2" t="s">
        <v>630</v>
      </c>
      <c r="B16" s="2"/>
      <c r="C16" s="2"/>
      <c r="D16" s="2"/>
      <c r="E16" s="2"/>
      <c r="F16" s="7">
        <v>-0.03</v>
      </c>
      <c r="G16" s="2"/>
      <c r="H16" s="2"/>
      <c r="I16" s="2"/>
      <c r="J16" s="2"/>
      <c r="K16" s="2"/>
      <c r="L16" s="2"/>
    </row>
    <row r="17" spans="1:12" ht="27" customHeight="1">
      <c r="A17" s="2" t="s">
        <v>631</v>
      </c>
      <c r="B17" s="2"/>
      <c r="C17" s="2"/>
      <c r="D17" s="2"/>
      <c r="E17" s="2"/>
      <c r="F17" s="7">
        <v>0.04</v>
      </c>
      <c r="G17" s="2"/>
      <c r="H17" s="2"/>
      <c r="I17" s="2"/>
      <c r="J17" s="2"/>
      <c r="K17" s="2"/>
      <c r="L17" s="2"/>
    </row>
    <row r="18" spans="1:12" ht="27" customHeight="1">
      <c r="A18" s="2"/>
      <c r="B18" s="2"/>
      <c r="C18" s="2"/>
      <c r="D18" s="2"/>
      <c r="E18" s="2"/>
      <c r="F18" s="2"/>
      <c r="G18" s="2"/>
      <c r="H18" s="2"/>
      <c r="I18" s="5" t="s">
        <v>147</v>
      </c>
      <c r="J18" s="2"/>
      <c r="K18" s="2"/>
      <c r="L18" s="2"/>
    </row>
    <row r="19" spans="1:12" ht="32" customHeight="1">
      <c r="A19" s="2"/>
      <c r="B19" s="2"/>
      <c r="C19" s="2"/>
      <c r="D19" s="2"/>
      <c r="E19" s="2"/>
      <c r="F19" s="2"/>
      <c r="G19" s="2"/>
      <c r="H19" s="2"/>
      <c r="I19" s="8" t="s">
        <v>632</v>
      </c>
      <c r="J19" s="10">
        <f>($F$16+$F$17)/2</f>
        <v>5.000000000000001E-3</v>
      </c>
      <c r="K19" s="2"/>
      <c r="L19" s="2"/>
    </row>
    <row r="20" spans="1:12" ht="32" customHeight="1">
      <c r="A20" s="2" t="s">
        <v>633</v>
      </c>
      <c r="B20" s="2"/>
      <c r="C20" s="2"/>
      <c r="D20" s="2"/>
      <c r="E20" s="2"/>
      <c r="F20" s="2"/>
      <c r="G20" s="2"/>
      <c r="H20" s="2"/>
      <c r="I20" s="8" t="s">
        <v>634</v>
      </c>
      <c r="J20" s="10">
        <f>-4*PI()*$D$8*$J$19/$F$15</f>
        <v>-0.20958450219516822</v>
      </c>
      <c r="K20" s="2"/>
      <c r="L20" s="2"/>
    </row>
    <row r="21" spans="1:12" ht="32" customHeight="1">
      <c r="A21" s="2"/>
      <c r="B21" s="2"/>
      <c r="C21" s="2"/>
      <c r="D21" s="2"/>
      <c r="E21" s="2"/>
      <c r="F21" s="2"/>
      <c r="G21" s="2"/>
      <c r="H21" s="2"/>
      <c r="I21" s="8" t="s">
        <v>635</v>
      </c>
      <c r="J21" s="10">
        <f>-4*PI()*$D$9*$J$19/$F$15</f>
        <v>-0.41916900439033644</v>
      </c>
      <c r="K21" s="2"/>
      <c r="L21" s="2"/>
    </row>
    <row r="22" spans="1:12" ht="32" customHeight="1">
      <c r="A22" s="2"/>
      <c r="B22" s="2"/>
      <c r="C22" s="2"/>
      <c r="D22" s="2"/>
      <c r="E22" s="2"/>
      <c r="F22" s="2"/>
      <c r="G22" s="2"/>
      <c r="H22" s="2"/>
      <c r="I22" s="8" t="s">
        <v>636</v>
      </c>
      <c r="J22" s="10">
        <f>-4*PI()*$D$10*$J$19/$F$15</f>
        <v>-0.62875350658550455</v>
      </c>
      <c r="K22" s="2"/>
      <c r="L22" s="2"/>
    </row>
    <row r="23" spans="1:12" ht="32" customHeight="1">
      <c r="A23" s="2"/>
      <c r="B23" s="2"/>
      <c r="C23" s="2"/>
      <c r="D23" s="2"/>
      <c r="E23" s="2"/>
      <c r="F23" s="2"/>
      <c r="G23" s="2"/>
      <c r="H23" s="2"/>
      <c r="I23" s="8" t="s">
        <v>637</v>
      </c>
      <c r="J23" s="10">
        <f>-4*PI()*$D$11*$J$19/$F$15</f>
        <v>-0.83833800878067288</v>
      </c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7" customHeight="1">
      <c r="A28" s="4" t="s">
        <v>122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2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29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2" width="11" customWidth="1"/>
    <col min="3" max="3" width="12" customWidth="1"/>
    <col min="4" max="4" width="7" customWidth="1"/>
    <col min="5" max="5" width="14" customWidth="1"/>
    <col min="6" max="6" width="3" customWidth="1"/>
    <col min="7" max="7" width="31" customWidth="1"/>
    <col min="8" max="9" width="17" customWidth="1"/>
    <col min="10" max="10" width="15" customWidth="1"/>
  </cols>
  <sheetData>
    <row r="1" spans="1:10" ht="35" customHeight="1">
      <c r="A1" s="3" t="s">
        <v>93</v>
      </c>
      <c r="B1" s="2"/>
      <c r="C1" s="2"/>
      <c r="D1" s="2"/>
      <c r="E1" s="2"/>
      <c r="F1" s="2"/>
      <c r="G1" s="2"/>
      <c r="H1" s="2"/>
      <c r="I1" s="2"/>
      <c r="J1" s="2"/>
    </row>
    <row r="2" spans="1:10" ht="27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7" customHeight="1">
      <c r="A3" s="2" t="s">
        <v>638</v>
      </c>
      <c r="B3" s="2"/>
      <c r="C3" s="2"/>
      <c r="D3" s="2"/>
      <c r="E3" s="2"/>
      <c r="F3" s="2"/>
      <c r="G3" s="2"/>
      <c r="H3" s="2"/>
      <c r="I3" s="2"/>
      <c r="J3" s="2"/>
    </row>
    <row r="4" spans="1:10" ht="27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7" customHeight="1">
      <c r="A5" s="4" t="s">
        <v>639</v>
      </c>
      <c r="B5" s="4"/>
      <c r="C5" s="4"/>
      <c r="D5" s="4"/>
      <c r="E5" s="4"/>
      <c r="F5" s="4"/>
      <c r="G5" s="4"/>
      <c r="H5" s="4"/>
      <c r="I5" s="4"/>
      <c r="J5" s="4"/>
    </row>
    <row r="6" spans="1:10" ht="27" customHeight="1">
      <c r="A6" s="5" t="s">
        <v>101</v>
      </c>
      <c r="B6" s="5"/>
      <c r="C6" s="5"/>
      <c r="D6" s="5"/>
      <c r="E6" s="5"/>
      <c r="F6" s="5"/>
      <c r="G6" s="5" t="s">
        <v>102</v>
      </c>
      <c r="H6" s="5"/>
      <c r="I6" s="5"/>
      <c r="J6" s="5"/>
    </row>
    <row r="7" spans="1:10" ht="42" customHeight="1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163</v>
      </c>
      <c r="F7" s="2"/>
      <c r="G7" s="6" t="s">
        <v>110</v>
      </c>
      <c r="H7" s="6" t="s">
        <v>111</v>
      </c>
      <c r="I7" s="6" t="s">
        <v>112</v>
      </c>
      <c r="J7" s="6" t="s">
        <v>113</v>
      </c>
    </row>
    <row r="8" spans="1:10" ht="32" customHeight="1">
      <c r="A8" s="21">
        <v>0</v>
      </c>
      <c r="B8" s="13">
        <v>0</v>
      </c>
      <c r="C8" s="13">
        <v>8</v>
      </c>
      <c r="D8" s="14" t="s">
        <v>115</v>
      </c>
      <c r="E8" s="15">
        <v>1</v>
      </c>
      <c r="F8" s="2"/>
      <c r="G8" s="8" t="s">
        <v>640</v>
      </c>
      <c r="H8" s="10">
        <f>10*LOG10(AVERAGE($E$8,$E$11))</f>
        <v>3.0102999566398121</v>
      </c>
      <c r="I8" s="11">
        <v>3.0102999566398121</v>
      </c>
      <c r="J8" s="9">
        <f t="shared" ref="J8:J13" si="0">IF(AND(ISNUMBER(H8),ISNUMBER(I8)),ABS(10^((I8-H8)/10)-1),IF(ISBLANK(I8),"missing export",IF(ISBLANK(H8),"missing input","n/a")))</f>
        <v>0</v>
      </c>
    </row>
    <row r="9" spans="1:10" ht="32" customHeight="1">
      <c r="A9" s="21">
        <v>0</v>
      </c>
      <c r="B9" s="13">
        <v>0</v>
      </c>
      <c r="C9" s="13">
        <v>9</v>
      </c>
      <c r="D9" s="14" t="s">
        <v>115</v>
      </c>
      <c r="E9" s="15">
        <v>2</v>
      </c>
      <c r="F9" s="2"/>
      <c r="G9" s="8" t="s">
        <v>641</v>
      </c>
      <c r="H9" s="10">
        <f>10*LOG10(AVERAGE($E$9,$E$12))</f>
        <v>6.0205999132796242</v>
      </c>
      <c r="I9" s="11">
        <v>6.0205999132796242</v>
      </c>
      <c r="J9" s="9">
        <f t="shared" si="0"/>
        <v>0</v>
      </c>
    </row>
    <row r="10" spans="1:10" ht="32" customHeight="1">
      <c r="A10" s="21">
        <v>0</v>
      </c>
      <c r="B10" s="13">
        <v>0</v>
      </c>
      <c r="C10" s="13">
        <v>10</v>
      </c>
      <c r="D10" s="14" t="s">
        <v>115</v>
      </c>
      <c r="E10" s="15">
        <v>4</v>
      </c>
      <c r="F10" s="2"/>
      <c r="G10" s="8" t="s">
        <v>642</v>
      </c>
      <c r="H10" s="10">
        <f>10*LOG10(AVERAGE($E$10,$E$13))</f>
        <v>9.0308998699194358</v>
      </c>
      <c r="I10" s="11">
        <v>9.0308998699194358</v>
      </c>
      <c r="J10" s="9">
        <f t="shared" si="0"/>
        <v>0</v>
      </c>
    </row>
    <row r="11" spans="1:10" ht="32" customHeight="1">
      <c r="A11" s="21">
        <v>0</v>
      </c>
      <c r="B11" s="13">
        <v>30</v>
      </c>
      <c r="C11" s="13">
        <v>8</v>
      </c>
      <c r="D11" s="14" t="s">
        <v>115</v>
      </c>
      <c r="E11" s="15">
        <v>3</v>
      </c>
      <c r="F11" s="2"/>
      <c r="G11" s="8" t="s">
        <v>643</v>
      </c>
      <c r="H11" s="10">
        <f>10*LOG10(AVERAGE($E$14,$E$17))</f>
        <v>7.7815125038364368</v>
      </c>
      <c r="I11" s="11">
        <v>7.7815125038364368</v>
      </c>
      <c r="J11" s="9">
        <f t="shared" si="0"/>
        <v>0</v>
      </c>
    </row>
    <row r="12" spans="1:10" ht="32" customHeight="1">
      <c r="A12" s="21">
        <v>0</v>
      </c>
      <c r="B12" s="13">
        <v>30</v>
      </c>
      <c r="C12" s="13">
        <v>9</v>
      </c>
      <c r="D12" s="14" t="s">
        <v>115</v>
      </c>
      <c r="E12" s="15">
        <v>6</v>
      </c>
      <c r="F12" s="2"/>
      <c r="G12" s="8" t="s">
        <v>644</v>
      </c>
      <c r="H12" s="10">
        <f>10*LOG10(AVERAGE($E$15,$E$18))</f>
        <v>10.791812460476249</v>
      </c>
      <c r="I12" s="11">
        <v>10.791812460476249</v>
      </c>
      <c r="J12" s="9">
        <f t="shared" si="0"/>
        <v>0</v>
      </c>
    </row>
    <row r="13" spans="1:10" ht="32" customHeight="1">
      <c r="A13" s="21">
        <v>0</v>
      </c>
      <c r="B13" s="13">
        <v>30</v>
      </c>
      <c r="C13" s="13">
        <v>10</v>
      </c>
      <c r="D13" s="14" t="s">
        <v>115</v>
      </c>
      <c r="E13" s="15">
        <v>12</v>
      </c>
      <c r="F13" s="2"/>
      <c r="G13" s="8" t="s">
        <v>645</v>
      </c>
      <c r="H13" s="10">
        <f>10*LOG10(AVERAGE($E$16,$E$19))</f>
        <v>13.80211241711606</v>
      </c>
      <c r="I13" s="11">
        <v>13.80211241711606</v>
      </c>
      <c r="J13" s="9">
        <f t="shared" si="0"/>
        <v>0</v>
      </c>
    </row>
    <row r="14" spans="1:10" ht="27" customHeight="1">
      <c r="A14" s="21">
        <v>90</v>
      </c>
      <c r="B14" s="13">
        <v>0</v>
      </c>
      <c r="C14" s="13">
        <v>8</v>
      </c>
      <c r="D14" s="14" t="s">
        <v>115</v>
      </c>
      <c r="E14" s="15">
        <v>5</v>
      </c>
      <c r="F14" s="2"/>
      <c r="G14" s="2"/>
      <c r="H14" s="2"/>
      <c r="I14" s="2"/>
      <c r="J14" s="2"/>
    </row>
    <row r="15" spans="1:10" ht="27" customHeight="1">
      <c r="A15" s="21">
        <v>90</v>
      </c>
      <c r="B15" s="13">
        <v>0</v>
      </c>
      <c r="C15" s="13">
        <v>9</v>
      </c>
      <c r="D15" s="14" t="s">
        <v>115</v>
      </c>
      <c r="E15" s="15">
        <v>10</v>
      </c>
      <c r="F15" s="2"/>
      <c r="G15" s="2"/>
      <c r="H15" s="2"/>
      <c r="I15" s="2"/>
      <c r="J15" s="2"/>
    </row>
    <row r="16" spans="1:10" ht="27" customHeight="1">
      <c r="A16" s="21">
        <v>90</v>
      </c>
      <c r="B16" s="13">
        <v>0</v>
      </c>
      <c r="C16" s="13">
        <v>10</v>
      </c>
      <c r="D16" s="14" t="s">
        <v>115</v>
      </c>
      <c r="E16" s="15">
        <v>20</v>
      </c>
      <c r="F16" s="2"/>
      <c r="G16" s="2"/>
      <c r="H16" s="2"/>
      <c r="I16" s="2"/>
      <c r="J16" s="2"/>
    </row>
    <row r="17" spans="1:10" ht="27" customHeight="1">
      <c r="A17" s="21">
        <v>90</v>
      </c>
      <c r="B17" s="13">
        <v>30</v>
      </c>
      <c r="C17" s="13">
        <v>8</v>
      </c>
      <c r="D17" s="14" t="s">
        <v>115</v>
      </c>
      <c r="E17" s="15">
        <v>7</v>
      </c>
      <c r="F17" s="2"/>
      <c r="G17" s="2"/>
      <c r="H17" s="2"/>
      <c r="I17" s="2"/>
      <c r="J17" s="2"/>
    </row>
    <row r="18" spans="1:10" ht="27" customHeight="1">
      <c r="A18" s="21">
        <v>90</v>
      </c>
      <c r="B18" s="13">
        <v>30</v>
      </c>
      <c r="C18" s="13">
        <v>9</v>
      </c>
      <c r="D18" s="14" t="s">
        <v>115</v>
      </c>
      <c r="E18" s="15">
        <v>14</v>
      </c>
      <c r="F18" s="2"/>
      <c r="G18" s="2"/>
      <c r="H18" s="2"/>
      <c r="I18" s="2"/>
      <c r="J18" s="2"/>
    </row>
    <row r="19" spans="1:10" ht="27" customHeight="1">
      <c r="A19" s="21">
        <v>90</v>
      </c>
      <c r="B19" s="13">
        <v>30</v>
      </c>
      <c r="C19" s="13">
        <v>10</v>
      </c>
      <c r="D19" s="14" t="s">
        <v>115</v>
      </c>
      <c r="E19" s="15">
        <v>28</v>
      </c>
      <c r="F19" s="2"/>
      <c r="G19" s="2"/>
      <c r="H19" s="2"/>
      <c r="I19" s="2"/>
      <c r="J19" s="2"/>
    </row>
    <row r="20" spans="1:10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27" customHeight="1">
      <c r="A25" s="2" t="s">
        <v>646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27" customHeight="1">
      <c r="A27" s="4" t="s">
        <v>122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 ht="27" customHeight="1">
      <c r="A28" s="4" t="s">
        <v>178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27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4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3" width="11" customWidth="1"/>
    <col min="4" max="4" width="12" customWidth="1"/>
    <col min="5" max="5" width="7" customWidth="1"/>
    <col min="6" max="6" width="14" customWidth="1"/>
    <col min="7" max="7" width="3" customWidth="1"/>
    <col min="8" max="8" width="31" customWidth="1"/>
    <col min="9" max="10" width="17" customWidth="1"/>
    <col min="11" max="11" width="15" customWidth="1"/>
  </cols>
  <sheetData>
    <row r="1" spans="1:11" ht="35" customHeight="1">
      <c r="A1" s="3" t="s">
        <v>647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" t="s">
        <v>648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7" customHeight="1">
      <c r="A5" s="4" t="s">
        <v>569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7" customHeight="1">
      <c r="A6" s="5" t="s">
        <v>101</v>
      </c>
      <c r="B6" s="5"/>
      <c r="C6" s="5"/>
      <c r="D6" s="5"/>
      <c r="E6" s="5"/>
      <c r="F6" s="5"/>
      <c r="G6" s="5"/>
      <c r="H6" s="5" t="s">
        <v>102</v>
      </c>
      <c r="I6" s="5"/>
      <c r="J6" s="5"/>
      <c r="K6" s="5"/>
    </row>
    <row r="7" spans="1:11" ht="42" customHeight="1">
      <c r="A7" s="6" t="s">
        <v>136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2"/>
      <c r="H7" s="6" t="s">
        <v>110</v>
      </c>
      <c r="I7" s="6" t="s">
        <v>111</v>
      </c>
      <c r="J7" s="6" t="s">
        <v>112</v>
      </c>
      <c r="K7" s="6" t="s">
        <v>113</v>
      </c>
    </row>
    <row r="8" spans="1:11" ht="32" customHeight="1">
      <c r="A8" s="12" t="s">
        <v>649</v>
      </c>
      <c r="B8" s="13">
        <v>0</v>
      </c>
      <c r="C8" s="13">
        <v>0</v>
      </c>
      <c r="D8" s="13">
        <v>10</v>
      </c>
      <c r="E8" s="14" t="s">
        <v>221</v>
      </c>
      <c r="F8" s="15">
        <v>3</v>
      </c>
      <c r="G8" s="2"/>
      <c r="H8" s="8" t="s">
        <v>650</v>
      </c>
      <c r="I8" s="10">
        <f>MOD(-$B$10+180,360)-180</f>
        <v>-180</v>
      </c>
      <c r="J8" s="11">
        <v>-180</v>
      </c>
      <c r="K8" s="9">
        <f t="shared" ref="K8:K14" si="0">IF(AND(ISNUMBER(I8),ISNUMBER(J8)),IF(SIGN(I8)=0,"n/a (zero)",ABS(J8-I8)/ABS(I8)),IF(ISBLANK(J8),"missing export",IF(ISBLANK(I8),"missing input","n/a")))</f>
        <v>0</v>
      </c>
    </row>
    <row r="9" spans="1:11" ht="32" customHeight="1">
      <c r="A9" s="12" t="s">
        <v>649</v>
      </c>
      <c r="B9" s="13">
        <v>90</v>
      </c>
      <c r="C9" s="13">
        <v>0</v>
      </c>
      <c r="D9" s="13">
        <v>10</v>
      </c>
      <c r="E9" s="14" t="s">
        <v>221</v>
      </c>
      <c r="F9" s="15">
        <v>9</v>
      </c>
      <c r="G9" s="2"/>
      <c r="H9" s="8" t="s">
        <v>651</v>
      </c>
      <c r="I9" s="10">
        <f>$F$10</f>
        <v>18</v>
      </c>
      <c r="J9" s="11">
        <v>18</v>
      </c>
      <c r="K9" s="9">
        <f t="shared" si="0"/>
        <v>0</v>
      </c>
    </row>
    <row r="10" spans="1:11" ht="32" customHeight="1">
      <c r="A10" s="12" t="s">
        <v>649</v>
      </c>
      <c r="B10" s="13">
        <v>180</v>
      </c>
      <c r="C10" s="13">
        <v>0</v>
      </c>
      <c r="D10" s="13">
        <v>10</v>
      </c>
      <c r="E10" s="14" t="s">
        <v>221</v>
      </c>
      <c r="F10" s="15">
        <v>18</v>
      </c>
      <c r="G10" s="2"/>
      <c r="H10" s="8" t="s">
        <v>652</v>
      </c>
      <c r="I10" s="10">
        <f>MOD(-$B$9+180,360)-180</f>
        <v>-90</v>
      </c>
      <c r="J10" s="11">
        <v>-90</v>
      </c>
      <c r="K10" s="9">
        <f t="shared" si="0"/>
        <v>0</v>
      </c>
    </row>
    <row r="11" spans="1:11" ht="32" customHeight="1">
      <c r="A11" s="12" t="s">
        <v>649</v>
      </c>
      <c r="B11" s="13">
        <v>270</v>
      </c>
      <c r="C11" s="13">
        <v>0</v>
      </c>
      <c r="D11" s="13">
        <v>10</v>
      </c>
      <c r="E11" s="14" t="s">
        <v>221</v>
      </c>
      <c r="F11" s="15" t="s">
        <v>168</v>
      </c>
      <c r="G11" s="2"/>
      <c r="H11" s="8" t="s">
        <v>653</v>
      </c>
      <c r="I11" s="10">
        <f>$F$9</f>
        <v>9</v>
      </c>
      <c r="J11" s="11">
        <v>9</v>
      </c>
      <c r="K11" s="9">
        <f t="shared" si="0"/>
        <v>0</v>
      </c>
    </row>
    <row r="12" spans="1:11" ht="32" customHeight="1">
      <c r="A12" s="2"/>
      <c r="B12" s="2"/>
      <c r="C12" s="2"/>
      <c r="D12" s="2"/>
      <c r="E12" s="2"/>
      <c r="F12" s="2"/>
      <c r="G12" s="2"/>
      <c r="H12" s="8" t="s">
        <v>654</v>
      </c>
      <c r="I12" s="10">
        <f>MOD(-$B$8+180,360)-180</f>
        <v>0</v>
      </c>
      <c r="J12" s="11">
        <v>0</v>
      </c>
      <c r="K12" s="9" t="str">
        <f t="shared" si="0"/>
        <v>n/a (zero)</v>
      </c>
    </row>
    <row r="13" spans="1:11" ht="32" customHeight="1">
      <c r="A13" s="2"/>
      <c r="B13" s="2"/>
      <c r="C13" s="2"/>
      <c r="D13" s="2"/>
      <c r="E13" s="2"/>
      <c r="F13" s="2"/>
      <c r="G13" s="2"/>
      <c r="H13" s="8" t="s">
        <v>655</v>
      </c>
      <c r="I13" s="10">
        <f>$F$8</f>
        <v>3</v>
      </c>
      <c r="J13" s="11">
        <v>3</v>
      </c>
      <c r="K13" s="9">
        <f t="shared" si="0"/>
        <v>0</v>
      </c>
    </row>
    <row r="14" spans="1:11" ht="32" customHeight="1">
      <c r="A14" s="2"/>
      <c r="B14" s="2"/>
      <c r="C14" s="2"/>
      <c r="D14" s="2"/>
      <c r="E14" s="2"/>
      <c r="F14" s="2"/>
      <c r="G14" s="2"/>
      <c r="H14" s="8" t="s">
        <v>656</v>
      </c>
      <c r="I14" s="10">
        <f>MOD(-$B$11+180,360)-180</f>
        <v>90</v>
      </c>
      <c r="J14" s="11">
        <v>90</v>
      </c>
      <c r="K14" s="9">
        <f t="shared" si="0"/>
        <v>0</v>
      </c>
    </row>
    <row r="15" spans="1:11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7" customHeight="1">
      <c r="A17" s="2" t="s">
        <v>657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7" customHeight="1">
      <c r="A22" s="4" t="s">
        <v>122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2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27"/>
  <sheetViews>
    <sheetView showGridLines="0" workbookViewId="0">
      <pane ySplit="7" topLeftCell="A8" activePane="bottomLeft" state="frozen"/>
      <selection pane="bottomLeft"/>
    </sheetView>
  </sheetViews>
  <sheetFormatPr defaultRowHeight="13.5"/>
  <cols>
    <col min="1" max="1" width="12" customWidth="1"/>
    <col min="2" max="3" width="11" customWidth="1"/>
    <col min="4" max="4" width="12" customWidth="1"/>
    <col min="5" max="5" width="7" customWidth="1"/>
    <col min="6" max="7" width="14" customWidth="1"/>
    <col min="8" max="8" width="3" customWidth="1"/>
    <col min="9" max="9" width="31" customWidth="1"/>
    <col min="10" max="11" width="17" customWidth="1"/>
    <col min="12" max="12" width="15" customWidth="1"/>
    <col min="13" max="13" width="14" customWidth="1"/>
  </cols>
  <sheetData>
    <row r="1" spans="1:13" ht="35" customHeight="1">
      <c r="A1" s="3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7" customHeight="1">
      <c r="A3" s="2" t="s">
        <v>658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7" customHeight="1">
      <c r="A5" s="4" t="s">
        <v>293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7" customHeight="1">
      <c r="A6" s="5" t="s">
        <v>101</v>
      </c>
      <c r="B6" s="5"/>
      <c r="C6" s="5"/>
      <c r="D6" s="5"/>
      <c r="E6" s="5"/>
      <c r="F6" s="5"/>
      <c r="G6" s="5"/>
      <c r="H6" s="5"/>
      <c r="I6" s="5" t="s">
        <v>102</v>
      </c>
      <c r="J6" s="5"/>
      <c r="K6" s="5"/>
      <c r="L6" s="5"/>
      <c r="M6" s="5"/>
    </row>
    <row r="7" spans="1:13" ht="42" customHeight="1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2"/>
      <c r="I7" s="6" t="s">
        <v>110</v>
      </c>
      <c r="J7" s="6" t="s">
        <v>111</v>
      </c>
      <c r="K7" s="6" t="s">
        <v>112</v>
      </c>
      <c r="L7" s="6" t="s">
        <v>113</v>
      </c>
      <c r="M7" s="6" t="s">
        <v>410</v>
      </c>
    </row>
    <row r="8" spans="1:13" ht="32" customHeight="1">
      <c r="A8" s="12" t="s">
        <v>119</v>
      </c>
      <c r="B8" s="13">
        <v>-180</v>
      </c>
      <c r="C8" s="13">
        <v>0</v>
      </c>
      <c r="D8" s="13">
        <v>10</v>
      </c>
      <c r="E8" s="14" t="s">
        <v>115</v>
      </c>
      <c r="F8" s="13">
        <v>1</v>
      </c>
      <c r="G8" s="15">
        <v>-181</v>
      </c>
      <c r="H8" s="2"/>
      <c r="I8" s="8" t="s">
        <v>116</v>
      </c>
      <c r="J8" s="10">
        <f>MOD($B$10,360)</f>
        <v>0</v>
      </c>
      <c r="K8" s="11">
        <v>0</v>
      </c>
      <c r="L8" s="9" t="str">
        <f>IF(AND(ISNUMBER(J8),ISNUMBER(K8)),IF(SIGN(J8)=0,"n/a (zero)",ABS(K8-J8)/ABS(J8)),IF(ISBLANK(K8),"missing export",IF(ISBLANK(J8),"missing input","n/a")))</f>
        <v>n/a (zero)</v>
      </c>
      <c r="M8" s="2"/>
    </row>
    <row r="9" spans="1:13" ht="32" customHeight="1">
      <c r="A9" s="12" t="s">
        <v>119</v>
      </c>
      <c r="B9" s="13">
        <v>-90</v>
      </c>
      <c r="C9" s="13">
        <v>0</v>
      </c>
      <c r="D9" s="13">
        <v>10</v>
      </c>
      <c r="E9" s="14" t="s">
        <v>115</v>
      </c>
      <c r="F9" s="13">
        <v>2</v>
      </c>
      <c r="G9" s="15">
        <v>-90</v>
      </c>
      <c r="H9" s="2"/>
      <c r="I9" s="8" t="s">
        <v>117</v>
      </c>
      <c r="J9" s="10">
        <f>$F$10</f>
        <v>0</v>
      </c>
      <c r="K9" s="11">
        <v>0</v>
      </c>
      <c r="L9" s="9" t="str">
        <f>IF(AND(ISNUMBER(J9),ISNUMBER(K9)),IF(SIGN(J9)=0,"n/a (zero)",ABS(K9-J9)/ABS(J9)),IF(ISBLANK(K9),"missing export",IF(ISBLANK(J9),"missing input","n/a")))</f>
        <v>n/a (zero)</v>
      </c>
      <c r="M9" s="2"/>
    </row>
    <row r="10" spans="1:13" ht="32" customHeight="1">
      <c r="A10" s="12" t="s">
        <v>119</v>
      </c>
      <c r="B10" s="13">
        <v>0</v>
      </c>
      <c r="C10" s="13">
        <v>0</v>
      </c>
      <c r="D10" s="13">
        <v>10</v>
      </c>
      <c r="E10" s="14" t="s">
        <v>115</v>
      </c>
      <c r="F10" s="13">
        <v>0</v>
      </c>
      <c r="G10" s="15">
        <v>0</v>
      </c>
      <c r="H10" s="2"/>
      <c r="I10" s="8" t="s">
        <v>118</v>
      </c>
      <c r="J10" s="10">
        <f>MOD($B$11,360)</f>
        <v>90</v>
      </c>
      <c r="K10" s="11">
        <v>90</v>
      </c>
      <c r="L10" s="9">
        <f>IF(AND(ISNUMBER(J10),ISNUMBER(K10)),IF(SIGN(J10)=0,"n/a (zero)",ABS(K10-J10)/ABS(J10)),IF(ISBLANK(K10),"missing export",IF(ISBLANK(J10),"missing input","n/a")))</f>
        <v>0</v>
      </c>
      <c r="M10" s="2"/>
    </row>
    <row r="11" spans="1:13" ht="32" customHeight="1">
      <c r="A11" s="12" t="s">
        <v>119</v>
      </c>
      <c r="B11" s="13">
        <v>90</v>
      </c>
      <c r="C11" s="13">
        <v>0</v>
      </c>
      <c r="D11" s="13">
        <v>10</v>
      </c>
      <c r="E11" s="14" t="s">
        <v>115</v>
      </c>
      <c r="F11" s="13">
        <v>4</v>
      </c>
      <c r="G11" s="15">
        <v>181</v>
      </c>
      <c r="H11" s="2"/>
      <c r="I11" s="8" t="s">
        <v>120</v>
      </c>
      <c r="J11" s="10">
        <f>$F$11</f>
        <v>4</v>
      </c>
      <c r="K11" s="11">
        <v>4</v>
      </c>
      <c r="L11" s="9">
        <f>IF(AND(ISNUMBER(J11),ISNUMBER(K11)),IF(SIGN(J11)=0,"n/a (zero)",ABS(K11-J11)/ABS(J11)),IF(ISBLANK(K11),"missing export",IF(ISBLANK(J11),"missing input","n/a")))</f>
        <v>0</v>
      </c>
      <c r="M11" s="2"/>
    </row>
    <row r="12" spans="1:13" ht="32" customHeight="1">
      <c r="A12" s="12" t="s">
        <v>119</v>
      </c>
      <c r="B12" s="13">
        <v>180</v>
      </c>
      <c r="C12" s="13">
        <v>0</v>
      </c>
      <c r="D12" s="13">
        <v>10</v>
      </c>
      <c r="E12" s="14" t="s">
        <v>115</v>
      </c>
      <c r="F12" s="13">
        <v>99</v>
      </c>
      <c r="G12" s="15">
        <v>179</v>
      </c>
      <c r="H12" s="2"/>
      <c r="I12" s="8" t="s">
        <v>659</v>
      </c>
      <c r="J12" s="10">
        <f>IF(OR($F$11="missing",$G$11="missing"),"missing",MOD($G$11+180,360)-180)</f>
        <v>-179</v>
      </c>
      <c r="K12" s="11">
        <v>-178.99999999999997</v>
      </c>
      <c r="L12" s="9" t="str">
        <f>IF(AND(ISNUMBER(J12),ISNUMBER(K12)),"n/a (angle)",IF(ISBLANK(K12),"missing export",IF(ISBLANK(J12),"missing input","n/a")))</f>
        <v>n/a (angle)</v>
      </c>
      <c r="M12" s="23">
        <f>IF(AND(ISNUMBER(J12),ISNUMBER(K12)),ABS(MOD((K12-J12)+180,360)-180),"n/a")</f>
        <v>2.8421709430404007E-14</v>
      </c>
    </row>
    <row r="13" spans="1:13" ht="32" customHeight="1">
      <c r="A13" s="2"/>
      <c r="B13" s="2"/>
      <c r="C13" s="2"/>
      <c r="D13" s="2"/>
      <c r="E13" s="2"/>
      <c r="F13" s="2"/>
      <c r="G13" s="2"/>
      <c r="H13" s="2"/>
      <c r="I13" s="8" t="s">
        <v>305</v>
      </c>
      <c r="J13" s="10">
        <f>MOD($B$8,360)</f>
        <v>180</v>
      </c>
      <c r="K13" s="11">
        <v>180</v>
      </c>
      <c r="L13" s="9">
        <f>IF(AND(ISNUMBER(J13),ISNUMBER(K13)),IF(SIGN(J13)=0,"n/a (zero)",ABS(K13-J13)/ABS(J13)),IF(ISBLANK(K13),"missing export",IF(ISBLANK(J13),"missing input","n/a")))</f>
        <v>0</v>
      </c>
      <c r="M13" s="2"/>
    </row>
    <row r="14" spans="1:13" ht="32" customHeight="1">
      <c r="A14" s="2"/>
      <c r="B14" s="2"/>
      <c r="C14" s="2"/>
      <c r="D14" s="2"/>
      <c r="E14" s="2"/>
      <c r="F14" s="2"/>
      <c r="G14" s="2"/>
      <c r="H14" s="2"/>
      <c r="I14" s="8" t="s">
        <v>294</v>
      </c>
      <c r="J14" s="10">
        <f>$F$8</f>
        <v>1</v>
      </c>
      <c r="K14" s="11">
        <v>1</v>
      </c>
      <c r="L14" s="9">
        <f>IF(AND(ISNUMBER(J14),ISNUMBER(K14)),IF(SIGN(J14)=0,"n/a (zero)",ABS(K14-J14)/ABS(J14)),IF(ISBLANK(K14),"missing export",IF(ISBLANK(J14),"missing input","n/a")))</f>
        <v>0</v>
      </c>
      <c r="M14" s="2"/>
    </row>
    <row r="15" spans="1:13" ht="32" customHeight="1">
      <c r="A15" s="2"/>
      <c r="B15" s="2"/>
      <c r="C15" s="2"/>
      <c r="D15" s="2"/>
      <c r="E15" s="2"/>
      <c r="F15" s="2"/>
      <c r="G15" s="2"/>
      <c r="H15" s="2"/>
      <c r="I15" s="8" t="s">
        <v>599</v>
      </c>
      <c r="J15" s="10">
        <f>IF(OR($F$8="missing",$G$8="missing"),"missing",MOD($G$8+180,360)-180)</f>
        <v>179</v>
      </c>
      <c r="K15" s="11">
        <v>179</v>
      </c>
      <c r="L15" s="9" t="str">
        <f>IF(AND(ISNUMBER(J15),ISNUMBER(K15)),"n/a (angle)",IF(ISBLANK(K15),"missing export",IF(ISBLANK(J15),"missing input","n/a")))</f>
        <v>n/a (angle)</v>
      </c>
      <c r="M15" s="23">
        <f>IF(AND(ISNUMBER(J15),ISNUMBER(K15)),ABS(MOD((K15-J15)+180,360)-180),"n/a")</f>
        <v>0</v>
      </c>
    </row>
    <row r="16" spans="1:13" ht="32" customHeight="1">
      <c r="A16" s="2"/>
      <c r="B16" s="2"/>
      <c r="C16" s="2"/>
      <c r="D16" s="2"/>
      <c r="E16" s="2"/>
      <c r="F16" s="2"/>
      <c r="G16" s="2"/>
      <c r="H16" s="2"/>
      <c r="I16" s="8" t="s">
        <v>306</v>
      </c>
      <c r="J16" s="10">
        <f>MOD($B$9,360)</f>
        <v>270</v>
      </c>
      <c r="K16" s="11">
        <v>270</v>
      </c>
      <c r="L16" s="9">
        <f>IF(AND(ISNUMBER(J16),ISNUMBER(K16)),IF(SIGN(J16)=0,"n/a (zero)",ABS(K16-J16)/ABS(J16)),IF(ISBLANK(K16),"missing export",IF(ISBLANK(J16),"missing input","n/a")))</f>
        <v>0</v>
      </c>
      <c r="M16" s="2"/>
    </row>
    <row r="17" spans="1:13" ht="32" customHeight="1">
      <c r="A17" s="2"/>
      <c r="B17" s="2"/>
      <c r="C17" s="2"/>
      <c r="D17" s="2"/>
      <c r="E17" s="2"/>
      <c r="F17" s="2"/>
      <c r="G17" s="2"/>
      <c r="H17" s="2"/>
      <c r="I17" s="8" t="s">
        <v>295</v>
      </c>
      <c r="J17" s="10">
        <f>$F$9</f>
        <v>2</v>
      </c>
      <c r="K17" s="11">
        <v>2.0000000000000004</v>
      </c>
      <c r="L17" s="9">
        <f>IF(AND(ISNUMBER(J17),ISNUMBER(K17)),IF(SIGN(J17)=0,"n/a (zero)",ABS(K17-J17)/ABS(J17)),IF(ISBLANK(K17),"missing export",IF(ISBLANK(J17),"missing input","n/a")))</f>
        <v>2.2204460492503131E-16</v>
      </c>
      <c r="M17" s="2"/>
    </row>
    <row r="18" spans="1:13" ht="27" customHeight="1">
      <c r="A18" s="2" t="s">
        <v>660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27" customHeight="1">
      <c r="A25" s="4" t="s">
        <v>122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27" customHeight="1">
      <c r="A27" s="4" t="s">
        <v>422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Validation Index</vt:lpstr>
      <vt:lpstr>Align</vt:lpstr>
      <vt:lpstr>Axis Units</vt:lpstr>
      <vt:lpstr>Az vs D.R.</vt:lpstr>
      <vt:lpstr>Azimuth Polar</vt:lpstr>
      <vt:lpstr>Azimuth Rect</vt:lpstr>
      <vt:lpstr>CDF</vt:lpstr>
      <vt:lpstr>Coherent -</vt:lpstr>
      <vt:lpstr>Coherent +</vt:lpstr>
      <vt:lpstr>Coherent divide</vt:lpstr>
      <vt:lpstr>Crop Slice</vt:lpstr>
      <vt:lpstr>dBke and dBsm</vt:lpstr>
      <vt:lpstr>Decimate</vt:lpstr>
      <vt:lpstr>Delta dB</vt:lpstr>
      <vt:lpstr>Delta Map</vt:lpstr>
      <vt:lpstr>Duplicate</vt:lpstr>
      <vt:lpstr>El to Az360</vt:lpstr>
      <vt:lpstr>Elevation Sweep</vt:lpstr>
      <vt:lpstr>Flip Phase</vt:lpstr>
      <vt:lpstr>Frequency</vt:lpstr>
      <vt:lpstr>Incoherent -</vt:lpstr>
      <vt:lpstr>Incoherent +</vt:lpstr>
      <vt:lpstr>ISAR Image</vt:lpstr>
      <vt:lpstr>Join Merge</vt:lpstr>
      <vt:lpstr>Medianize</vt:lpstr>
      <vt:lpstr>Mirror</vt:lpstr>
      <vt:lpstr>Offset</vt:lpstr>
      <vt:lpstr>Overlap</vt:lpstr>
      <vt:lpstr>PBP</vt:lpstr>
      <vt:lpstr>Percentile</vt:lpstr>
      <vt:lpstr>Phase</vt:lpstr>
      <vt:lpstr>Phase Center</vt:lpstr>
      <vt:lpstr>Range Cal</vt:lpstr>
      <vt:lpstr>Range Freq</vt:lpstr>
      <vt:lpstr>Regrid</vt:lpstr>
      <vt:lpstr>RF Compare</vt:lpstr>
      <vt:lpstr>Round</vt:lpstr>
      <vt:lpstr>Save Load Export</vt:lpstr>
      <vt:lpstr>Sector Stats</vt:lpstr>
      <vt:lpstr>SENTRi El to GRIM</vt:lpstr>
      <vt:lpstr>Shift</vt:lpstr>
      <vt:lpstr>Stats</vt:lpstr>
      <vt:lpstr>Swap El Az</vt:lpstr>
      <vt:lpstr>Time Gate</vt:lpstr>
      <vt:lpstr>Waterfall</vt:lpstr>
      <vt:lpstr>Wedge Conic</vt:lpstr>
      <vt:lpstr>Wrap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 martin</cp:lastModifiedBy>
  <dcterms:modified xsi:type="dcterms:W3CDTF">2026-10-21T01:12:30Z</dcterms:modified>
</cp:coreProperties>
</file>